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 x sucursal" state="visible" r:id="rId4"/>
  </sheets>
  <definedNames>
    <definedName name="_xlnm.Print_Area" localSheetId="0">'Compras x sucursal'!$A1:$AC84</definedName>
    <definedName name="_xlnm.Print_Titles" localSheetId="0">'Compras x sucursal'!$1:$5</definedName>
  </definedNames>
  <calcPr calcId="171027" fullCalcOnLoad="1"/>
</workbook>
</file>

<file path=xl/sharedStrings.xml><?xml version="1.0" encoding="utf-8"?>
<sst xmlns="http://schemas.openxmlformats.org/spreadsheetml/2006/main" count="255" uniqueCount="169">
  <si>
    <t>RECUMET S.R.L. · REPORTE COMPRAS X SUCURSAL</t>
  </si>
  <si>
    <t>PERÍODO: 15/08/2026 AL 15/09/2026 · COMPRAS ACTIVAS · IMPORTES EN Bs</t>
  </si>
  <si>
    <t>Costo promedio ponderado = total compra / cantidad. Las cantidades se expresan en la unidad de cada producto.</t>
  </si>
  <si>
    <t>DATOS DEL PRODUCTO</t>
  </si>
  <si>
    <t>CASA MATRIZ</t>
  </si>
  <si>
    <t>SUCURSAL CBBA-REPUBLICA</t>
  </si>
  <si>
    <t>SUCURSAL CGT</t>
  </si>
  <si>
    <t>SUCURSAL ORURO</t>
  </si>
  <si>
    <t>SUCURSAL PRODMETAL CGS</t>
  </si>
  <si>
    <t>SUCURSAL SANTA CRUZ NORTE</t>
  </si>
  <si>
    <t>SUCURSAL SANTA CRUZ SUR</t>
  </si>
  <si>
    <t>SUCURSAL VIP</t>
  </si>
  <si>
    <t>TOTALES CONSOLIDADOS</t>
  </si>
  <si>
    <t>CÓDIGO</t>
  </si>
  <si>
    <t>PRODUCTO / MATERIAL</t>
  </si>
  <si>
    <t>UND</t>
  </si>
  <si>
    <t>CANTIDAD</t>
  </si>
  <si>
    <t>COSTO PROMEDIO</t>
  </si>
  <si>
    <t>TOTAL COMPRA (Bs)</t>
  </si>
  <si>
    <t>CANT. TOTAL ÍTEM</t>
  </si>
  <si>
    <t>ALEACIONES ESPECIALES(MP)</t>
  </si>
  <si>
    <t>MP-AES-BMX-001</t>
  </si>
  <si>
    <t>BRONCE MIXTO</t>
  </si>
  <si>
    <t>KGR</t>
  </si>
  <si>
    <t>MP-AES-INOX-001</t>
  </si>
  <si>
    <t>ACERO INOXIDABLE PIEZA 304</t>
  </si>
  <si>
    <t>MERMAS (DIFERENCIA DE BALANZAS)</t>
  </si>
  <si>
    <t>MP-MER-001</t>
  </si>
  <si>
    <t>MERMAS POR COMPRA (DIFERENCIA DE BALANZAS)</t>
  </si>
  <si>
    <t>METALES FERROSOS(MP)</t>
  </si>
  <si>
    <t>MP-FE-CAB-001</t>
  </si>
  <si>
    <t>CABLES MIXTOS DE COBRE</t>
  </si>
  <si>
    <t>MP-FE-LIV-001</t>
  </si>
  <si>
    <t>CHATARRA DE FIERRO - (LIVIANA)</t>
  </si>
  <si>
    <t>MP-FE-LIV-002</t>
  </si>
  <si>
    <t>CHATARRA VIRUTA (DE FIERRO)</t>
  </si>
  <si>
    <t>MP-FE-MIX-001</t>
  </si>
  <si>
    <t>CHATARRA DE FIERRO MIXTA</t>
  </si>
  <si>
    <t>MP-FE-PES-001</t>
  </si>
  <si>
    <t>CHATARRA DE FIERRO - (PESADA)</t>
  </si>
  <si>
    <t>MP-FE-PES-002</t>
  </si>
  <si>
    <t>CHATARRA DE FIERRO FUNDIDO</t>
  </si>
  <si>
    <t>MP-FE-PES-003</t>
  </si>
  <si>
    <t>COMPRESORES DE FRIO</t>
  </si>
  <si>
    <t>MP-FE-PES-004</t>
  </si>
  <si>
    <t>FIERRO PARA DESARMAR</t>
  </si>
  <si>
    <t>MP-FE-PVOL-001</t>
  </si>
  <si>
    <t>CHATARRA PESADA (VOLUMEN)</t>
  </si>
  <si>
    <t>METALES NO FERROSOS(MP)</t>
  </si>
  <si>
    <t>1091</t>
  </si>
  <si>
    <t>COBRE RADIADOR</t>
  </si>
  <si>
    <t>MP-AL-AER-001</t>
  </si>
  <si>
    <t>ALUMINIO AEROSOL</t>
  </si>
  <si>
    <t>MP-AL-CAB-001</t>
  </si>
  <si>
    <t>CABLE DE ALUMINIO PURO</t>
  </si>
  <si>
    <t>MP-AL-CAB-002</t>
  </si>
  <si>
    <t>CABLE DE ALUMINIO CON ALMA DE ACERO</t>
  </si>
  <si>
    <t>MP-AL-OLL-001</t>
  </si>
  <si>
    <t>ALUMINIO OLLA</t>
  </si>
  <si>
    <t>MP-AL-PER-001</t>
  </si>
  <si>
    <t>ALUMINIO PERFIL MIXTO</t>
  </si>
  <si>
    <t>MP-AL-RAD-001</t>
  </si>
  <si>
    <t>RADIADOR DE ALUMINIO</t>
  </si>
  <si>
    <t>MP-AL-TEN-001</t>
  </si>
  <si>
    <t>ALUMINIO TENSE LIMPIO</t>
  </si>
  <si>
    <t>MP-AL-TEN-002</t>
  </si>
  <si>
    <t>ALUMINIO TENSE SUCIO</t>
  </si>
  <si>
    <t>MP-AL-TT-001</t>
  </si>
  <si>
    <t>ALUMINIO SEGUNDA / CHAMUCHINA</t>
  </si>
  <si>
    <t>MP-AL-UBC-001</t>
  </si>
  <si>
    <t>LATAS DE CERVEZA - (UBC)</t>
  </si>
  <si>
    <t>MP-AL-VIR-001</t>
  </si>
  <si>
    <t>ALUMINIO VIRUTA</t>
  </si>
  <si>
    <t>MP-ALPD-002</t>
  </si>
  <si>
    <t>ALUMINIO PARA DESARMAR</t>
  </si>
  <si>
    <t>MP-CU-CAB-002</t>
  </si>
  <si>
    <t>CABLE GRUESO DE COBRE</t>
  </si>
  <si>
    <t>MP-CU-MIX-001</t>
  </si>
  <si>
    <t>COBRE MIXTO</t>
  </si>
  <si>
    <t>MP-CU-RAD-001</t>
  </si>
  <si>
    <t>RADIADORES DE COBRE/BRONCE</t>
  </si>
  <si>
    <t>MP-CU-RAD-002</t>
  </si>
  <si>
    <t>RADIADOR COBRE / ALUMINIO</t>
  </si>
  <si>
    <t>MP-CUBRPD-001</t>
  </si>
  <si>
    <t>COBRE/BRONCE PARA DESARMAR</t>
  </si>
  <si>
    <t>MP-PB-BAT-001</t>
  </si>
  <si>
    <t>BATERIAS MIXTAS (PLOMO)</t>
  </si>
  <si>
    <t>MP-PB-BAT-002</t>
  </si>
  <si>
    <t>BATERIAS MOTO (PLOMO)</t>
  </si>
  <si>
    <t>MP-PB-BAT-003</t>
  </si>
  <si>
    <t>BATERIAS UPS (PLOMO)</t>
  </si>
  <si>
    <t>MP-PB-BAT-004</t>
  </si>
  <si>
    <t>BATERIAS AUTOMOTIVA CON LIQUIDO (PLOMO)</t>
  </si>
  <si>
    <t>MP-PB-TUB-001</t>
  </si>
  <si>
    <t>PLOMO BLANDO PIEZA / TUBERÍA</t>
  </si>
  <si>
    <t>OTROS</t>
  </si>
  <si>
    <t>1099</t>
  </si>
  <si>
    <t>DESCUENTO BIG BAGS</t>
  </si>
  <si>
    <t>1125</t>
  </si>
  <si>
    <t>GESTION DE RESIDUOS DE APARATOS ELÉCTRICOS Y ELECTRÓNICOS (RAEES)</t>
  </si>
  <si>
    <t>UNID</t>
  </si>
  <si>
    <t>PAPEL Y CARTON</t>
  </si>
  <si>
    <t>MP-PAP-MIX-001</t>
  </si>
  <si>
    <t>PAPEL MIXTO</t>
  </si>
  <si>
    <t>PLASTICOS(MP)</t>
  </si>
  <si>
    <t>MP-PLA-PAD-001</t>
  </si>
  <si>
    <t>POLIETILENO DE ALTA DENSIDAD (CAJAS DE REFRESCO)</t>
  </si>
  <si>
    <t>MP-PLA-PAD-003</t>
  </si>
  <si>
    <t>POLIETILENO DE ALTA DENSIDAD (BALDES, SILLAS,CARÉ,MESAS,PLASTICO DURO)</t>
  </si>
  <si>
    <t>MP-PLA-PBD-001</t>
  </si>
  <si>
    <t>POLIETILENO DE BAJA DENSIDAD BOLSAS DE PLASTICO MIXTO</t>
  </si>
  <si>
    <t>PZA</t>
  </si>
  <si>
    <t>MP-PLA-PET-004</t>
  </si>
  <si>
    <t>BOTELLA PET MIXTA</t>
  </si>
  <si>
    <t>MP-PLA-PVC-001</t>
  </si>
  <si>
    <t>PVC (TUBOS DE CAÑERIA)</t>
  </si>
  <si>
    <t>PRODUCTOS TERMINADOS</t>
  </si>
  <si>
    <t>MP-PB-DUR-001</t>
  </si>
  <si>
    <t>PLOMO DURO (PIEZAS DURAS, BORNES)</t>
  </si>
  <si>
    <t>PT-PB-BAT-GRL-002</t>
  </si>
  <si>
    <t>BATERIAS DE PLOMO - GEL</t>
  </si>
  <si>
    <t>RAEES(MP)</t>
  </si>
  <si>
    <t>MP-RAE-EDC-001</t>
  </si>
  <si>
    <t>CHATARRA DE EQUIPOS DE FRÍO Y REFRIGERADORES</t>
  </si>
  <si>
    <t>MP-RAE-EDC-002</t>
  </si>
  <si>
    <t>AIRES ACONDICIONADOS, RESIDUOS ELECTRONICA</t>
  </si>
  <si>
    <t>MP-RAE-EDC-003</t>
  </si>
  <si>
    <t>PARLANTES</t>
  </si>
  <si>
    <t>MP-RAE-EDC-004</t>
  </si>
  <si>
    <t>RADIOS DE AUTOS, EQUIPO DE SONIDO SIN PARLANTES</t>
  </si>
  <si>
    <t>MP-RAE-EDC-005</t>
  </si>
  <si>
    <t>APARATOS REPRODUCTORES, VHS, DVD,TOCA DISCOS</t>
  </si>
  <si>
    <t>MP-RAE-ITC-001</t>
  </si>
  <si>
    <t>EQUIPOS DE INFORMATICA Y TELECOMUNICACION MIXTO - RAEES</t>
  </si>
  <si>
    <t>MP-RAE-ITC-002</t>
  </si>
  <si>
    <t>CPUS, SERVIDORES COMPLETOS</t>
  </si>
  <si>
    <t>MP-RAE-ITC-005</t>
  </si>
  <si>
    <t>CELULARES SMART(TOUCH CON BATERIA)</t>
  </si>
  <si>
    <t>MP-RAE-ITC-006</t>
  </si>
  <si>
    <t>CELULARES ANALOGICOS (CON TECLADO Y BATERIA)</t>
  </si>
  <si>
    <t>MP-RAE-ITC-009</t>
  </si>
  <si>
    <t>FOTOCOPIADORAS</t>
  </si>
  <si>
    <t>MP-RAE-ITC-010</t>
  </si>
  <si>
    <t>IMPRESORAS A LASER</t>
  </si>
  <si>
    <t>MP-RAE-ITC-011</t>
  </si>
  <si>
    <t>IMPRESORAS A TINTA</t>
  </si>
  <si>
    <t>MP-RAE-ITC-013</t>
  </si>
  <si>
    <t>MONITORES CRT Y TELEVISORES</t>
  </si>
  <si>
    <t>MP-RAE-ITC-014</t>
  </si>
  <si>
    <t>MONITORES, TELEVISORES, PANTALLA PLANA (LCD,LED)</t>
  </si>
  <si>
    <t>MP-RAE-ITC-016</t>
  </si>
  <si>
    <t>TARJETAS MIXTAS CPU</t>
  </si>
  <si>
    <t>MP-RAE-ITC-017</t>
  </si>
  <si>
    <t>TARJETAS MIXTAS DE ELECTRONICOS EN GENERAL</t>
  </si>
  <si>
    <t>MP-RAE-ITC-031</t>
  </si>
  <si>
    <t>TECLADOS, MOUSES, AURICULARES MIXTO</t>
  </si>
  <si>
    <t>MP-RAE-ITC-033</t>
  </si>
  <si>
    <t>LAPTOPS, PORTAILES, NETBOOKS</t>
  </si>
  <si>
    <t>MP-RAE-MED-002</t>
  </si>
  <si>
    <t>EQUIPOS ELECTRONICOS MEDICOS MIXTOS</t>
  </si>
  <si>
    <t>MP-RAE-MEV-001</t>
  </si>
  <si>
    <t>ELECTRONICOS VARIOS(ESTABILIZADORES DIGITALES,LAMPARAS,REFLECTORES,CARGADORES)</t>
  </si>
  <si>
    <t>RESIDUO NO VALORIZABLE</t>
  </si>
  <si>
    <t>RNV-DES-CD-001</t>
  </si>
  <si>
    <t>DESCUENTO DE IMPUREZA,BASURA</t>
  </si>
  <si>
    <t>RNV-DES-CD-002</t>
  </si>
  <si>
    <t>MISCELANEO(MADERA,VIDRIO,MELAMINA,SEPARADORES,SILLAS, TRICICLOS,OTROS)</t>
  </si>
  <si>
    <t>TOTAL GENERAL</t>
  </si>
  <si>
    <t>Cantidades totales por columna omitidas: los productos utilizan unidades distintas.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</si>
</sst>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000000"/>
      <sz val="10"/>
      <name val="Arial"/>
    </font>
    <font>
      <i/>
      <color rgb="FF64748B"/>
      <sz val="9"/>
      <name val="Arial"/>
    </font>
    <font>
      <b/>
      <color rgb="FF334155"/>
      <sz val="10"/>
      <name val="Arial"/>
    </font>
    <font>
      <b/>
      <color rgb="FF000000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E5B3A"/>
      </patternFill>
    </fill>
    <fill>
      <patternFill patternType="solid">
        <fgColor rgb="FFE3F3EA"/>
      </patternFill>
    </fill>
    <fill>
      <patternFill patternType="solid">
        <fgColor rgb="FFE8F3EA"/>
      </patternFill>
    </fill>
    <fill>
      <patternFill patternType="solid">
        <fgColor rgb="FFE7EFF9"/>
      </patternFill>
    </fill>
    <fill>
      <patternFill patternType="solid">
        <fgColor rgb="FFFFF4D9"/>
      </patternFill>
    </fill>
    <fill>
      <patternFill patternType="solid">
        <fgColor rgb="FFFBE9E2"/>
      </patternFill>
    </fill>
    <fill>
      <patternFill patternType="solid">
        <fgColor rgb="FFF0EAF8"/>
      </patternFill>
    </fill>
    <fill>
      <patternFill patternType="solid">
        <fgColor rgb="FFE2F3F2"/>
      </patternFill>
    </fill>
    <fill>
      <patternFill patternType="solid">
        <fgColor rgb="FFD6E2F0"/>
      </patternFill>
    </fill>
    <fill>
      <patternFill patternType="solid">
        <fgColor rgb="FFFFFFFF"/>
      </patternFill>
    </fill>
    <fill>
      <patternFill patternType="solid">
        <fgColor rgb="FFB9DFC8"/>
      </patternFill>
    </fill>
  </fills>
  <borders count="2">
    <border>
      <left/>
      <right/>
      <top/>
      <bottom/>
      <diagonal/>
    </border>
    <border>
      <left style="thin">
        <color rgb="FFD4DDD7"/>
      </left>
      <right style="thin">
        <color rgb="FFD4DDD7"/>
      </right>
      <top style="thin">
        <color rgb="FFD4DDD7"/>
      </top>
      <bottom style="thin">
        <color rgb="FFD4DDD7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4" fontId="2" fillId="4" borderId="1" xfId="0" applyNumberFormat="1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4" fontId="2" fillId="5" borderId="1" xfId="0" applyNumberFormat="1" applyFont="1" applyFill="1" applyBorder="1" applyAlignment="1">
      <alignment horizontal="right" vertical="center" wrapText="1"/>
    </xf>
    <xf numFmtId="164" fontId="2" fillId="5" borderId="1" xfId="0" applyNumberFormat="1" applyFont="1" applyFill="1" applyBorder="1" applyAlignment="1">
      <alignment horizontal="right" vertical="center" wrapText="1"/>
    </xf>
    <xf numFmtId="4" fontId="2" fillId="6" borderId="1" xfId="0" applyNumberFormat="1" applyFont="1" applyFill="1" applyBorder="1" applyAlignment="1">
      <alignment horizontal="right" vertical="center" wrapText="1"/>
    </xf>
    <xf numFmtId="164" fontId="2" fillId="6" borderId="1" xfId="0" applyNumberFormat="1" applyFont="1" applyFill="1" applyBorder="1" applyAlignment="1">
      <alignment horizontal="right" vertical="center" wrapText="1"/>
    </xf>
    <xf numFmtId="4" fontId="2" fillId="7" borderId="1" xfId="0" applyNumberFormat="1" applyFont="1" applyFill="1" applyBorder="1" applyAlignment="1">
      <alignment horizontal="right" vertical="center" wrapText="1"/>
    </xf>
    <xf numFmtId="164" fontId="2" fillId="7" borderId="1" xfId="0" applyNumberFormat="1" applyFont="1" applyFill="1" applyBorder="1" applyAlignment="1">
      <alignment horizontal="right" vertical="center" wrapText="1"/>
    </xf>
    <xf numFmtId="4" fontId="2" fillId="8" borderId="1" xfId="0" applyNumberFormat="1" applyFont="1" applyFill="1" applyBorder="1" applyAlignment="1">
      <alignment horizontal="right" vertical="center" wrapText="1"/>
    </xf>
    <xf numFmtId="164" fontId="2" fillId="8" borderId="1" xfId="0" applyNumberFormat="1" applyFont="1" applyFill="1" applyBorder="1" applyAlignment="1">
      <alignment horizontal="right" vertical="center" wrapText="1"/>
    </xf>
    <xf numFmtId="4" fontId="2" fillId="9" borderId="1" xfId="0" applyNumberFormat="1" applyFont="1" applyFill="1" applyBorder="1" applyAlignment="1">
      <alignment horizontal="right" vertical="center" wrapText="1"/>
    </xf>
    <xf numFmtId="164" fontId="2" fillId="9" borderId="1" xfId="0" applyNumberFormat="1" applyFont="1" applyFill="1" applyBorder="1" applyAlignment="1">
      <alignment horizontal="right" vertical="center" wrapText="1"/>
    </xf>
    <xf numFmtId="4" fontId="2" fillId="11" borderId="1" xfId="0" applyNumberFormat="1" applyFont="1" applyFill="1" applyBorder="1" applyAlignment="1">
      <alignment horizontal="righ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right" vertical="center" wrapText="1"/>
    </xf>
    <xf numFmtId="4" fontId="5" fillId="1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workbookViewId="0">
      <pane xSplit="3" ySplit="5" topLeftCell="D6" activePane="bottomRight" state="frozen"/>
      <selection pane="bottomRight"/>
    </sheetView>
  </sheetViews>
  <sheetFormatPr defaultRowHeight="21" outlineLevelRow="0" outlineLevelCol="0" x14ac:dyDescent="55" customHeight="1"/>
  <cols>
    <col min="1" max="1" width="19" customWidth="1"/>
    <col min="2" max="2" width="38" customWidth="1"/>
    <col min="4" max="29" width="18" customWidth="1"/>
  </cols>
  <sheetData>
    <row r="1" ht="30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s="3" customForma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8" customHeight="1" spans="1:29" x14ac:dyDescent="0.25">
      <c r="A4" s="4" t="s">
        <v>3</v>
      </c>
      <c r="B4" s="4"/>
      <c r="C4" s="4"/>
      <c r="D4" s="5" t="s">
        <v>4</v>
      </c>
      <c r="E4" s="5"/>
      <c r="F4" s="5"/>
      <c r="G4" s="6" t="s">
        <v>5</v>
      </c>
      <c r="H4" s="6"/>
      <c r="I4" s="6"/>
      <c r="J4" s="7" t="s">
        <v>6</v>
      </c>
      <c r="K4" s="7"/>
      <c r="L4" s="7"/>
      <c r="M4" s="8" t="s">
        <v>7</v>
      </c>
      <c r="N4" s="8"/>
      <c r="O4" s="8"/>
      <c r="P4" s="9" t="s">
        <v>8</v>
      </c>
      <c r="Q4" s="9"/>
      <c r="R4" s="9"/>
      <c r="S4" s="10" t="s">
        <v>9</v>
      </c>
      <c r="T4" s="10"/>
      <c r="U4" s="10"/>
      <c r="V4" s="5" t="s">
        <v>10</v>
      </c>
      <c r="W4" s="5"/>
      <c r="X4" s="5"/>
      <c r="Y4" s="6" t="s">
        <v>11</v>
      </c>
      <c r="Z4" s="6"/>
      <c r="AA4" s="6"/>
      <c r="AB4" s="11" t="s">
        <v>12</v>
      </c>
      <c r="AC4" s="11"/>
    </row>
    <row r="5" ht="32" customHeight="1" spans="1:29" x14ac:dyDescent="0.25">
      <c r="A5" s="12" t="s">
        <v>13</v>
      </c>
      <c r="B5" s="12" t="s">
        <v>14</v>
      </c>
      <c r="C5" s="12" t="s">
        <v>15</v>
      </c>
      <c r="D5" s="13" t="s">
        <v>16</v>
      </c>
      <c r="E5" s="13" t="s">
        <v>17</v>
      </c>
      <c r="F5" s="13" t="s">
        <v>18</v>
      </c>
      <c r="G5" s="14" t="s">
        <v>16</v>
      </c>
      <c r="H5" s="14" t="s">
        <v>17</v>
      </c>
      <c r="I5" s="14" t="s">
        <v>18</v>
      </c>
      <c r="J5" s="15" t="s">
        <v>16</v>
      </c>
      <c r="K5" s="15" t="s">
        <v>17</v>
      </c>
      <c r="L5" s="15" t="s">
        <v>18</v>
      </c>
      <c r="M5" s="16" t="s">
        <v>16</v>
      </c>
      <c r="N5" s="16" t="s">
        <v>17</v>
      </c>
      <c r="O5" s="16" t="s">
        <v>18</v>
      </c>
      <c r="P5" s="17" t="s">
        <v>16</v>
      </c>
      <c r="Q5" s="17" t="s">
        <v>17</v>
      </c>
      <c r="R5" s="17" t="s">
        <v>18</v>
      </c>
      <c r="S5" s="18" t="s">
        <v>16</v>
      </c>
      <c r="T5" s="18" t="s">
        <v>17</v>
      </c>
      <c r="U5" s="18" t="s">
        <v>18</v>
      </c>
      <c r="V5" s="13" t="s">
        <v>16</v>
      </c>
      <c r="W5" s="13" t="s">
        <v>17</v>
      </c>
      <c r="X5" s="13" t="s">
        <v>18</v>
      </c>
      <c r="Y5" s="14" t="s">
        <v>16</v>
      </c>
      <c r="Z5" s="14" t="s">
        <v>17</v>
      </c>
      <c r="AA5" s="14" t="s">
        <v>18</v>
      </c>
      <c r="AB5" s="19" t="s">
        <v>19</v>
      </c>
      <c r="AC5" s="19" t="s">
        <v>18</v>
      </c>
    </row>
    <row r="6" spans="1:29" x14ac:dyDescent="0.25">
      <c r="A6" s="20" t="s">
        <v>20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x14ac:dyDescent="0.25">
      <c r="A7" s="21" t="s">
        <v>21</v>
      </c>
      <c r="B7" s="21" t="s">
        <v>22</v>
      </c>
      <c r="C7" s="21" t="s">
        <v>23</v>
      </c>
      <c r="D7" s="22">
        <v>134.9</v>
      </c>
      <c r="E7" s="23">
        <f>IFERROR(F7/D7,0)</f>
        <v>71.92957746478872</v>
      </c>
      <c r="F7" s="22">
        <v>9703.3</v>
      </c>
      <c r="G7" s="24">
        <v>320.5</v>
      </c>
      <c r="H7" s="25">
        <f>IFERROR(I7/G7,0)</f>
        <v>70.12106084243369</v>
      </c>
      <c r="I7" s="24">
        <v>22473.8</v>
      </c>
      <c r="J7" s="26">
        <v>0</v>
      </c>
      <c r="K7" s="27">
        <f>IFERROR(L7/J7,0)</f>
        <v>0</v>
      </c>
      <c r="L7" s="26">
        <v>0</v>
      </c>
      <c r="M7" s="28">
        <v>0</v>
      </c>
      <c r="N7" s="29">
        <f>IFERROR(O7/M7,0)</f>
        <v>0</v>
      </c>
      <c r="O7" s="28">
        <v>0</v>
      </c>
      <c r="P7" s="30">
        <v>0</v>
      </c>
      <c r="Q7" s="31">
        <f>IFERROR(R7/P7,0)</f>
        <v>0</v>
      </c>
      <c r="R7" s="30">
        <v>0</v>
      </c>
      <c r="S7" s="32">
        <v>0</v>
      </c>
      <c r="T7" s="33">
        <f>IFERROR(U7/S7,0)</f>
        <v>0</v>
      </c>
      <c r="U7" s="32">
        <v>0</v>
      </c>
      <c r="V7" s="22">
        <v>0</v>
      </c>
      <c r="W7" s="23">
        <f>IFERROR(X7/V7,0)</f>
        <v>0</v>
      </c>
      <c r="X7" s="22">
        <v>0</v>
      </c>
      <c r="Y7" s="24">
        <v>0</v>
      </c>
      <c r="Z7" s="25">
        <f>IFERROR(AA7/Y7,0)</f>
        <v>0</v>
      </c>
      <c r="AA7" s="24">
        <v>0</v>
      </c>
      <c r="AB7" s="34">
        <f>SUM(D7,G7,J7,M7,P7,S7,V7,Y7)</f>
        <v>455.4</v>
      </c>
      <c r="AC7" s="34">
        <f>SUM(F7,I7,L7,O7,R7,U7,X7,AA7)</f>
        <v>32177.1</v>
      </c>
    </row>
    <row r="8" spans="1:29" x14ac:dyDescent="0.25">
      <c r="A8" s="21" t="s">
        <v>24</v>
      </c>
      <c r="B8" s="21" t="s">
        <v>25</v>
      </c>
      <c r="C8" s="21" t="s">
        <v>23</v>
      </c>
      <c r="D8" s="22">
        <v>595</v>
      </c>
      <c r="E8" s="23">
        <f>IFERROR(F8/D8,0)</f>
        <v>8.172689075630252</v>
      </c>
      <c r="F8" s="22">
        <v>4862.75</v>
      </c>
      <c r="G8" s="24">
        <v>346.9</v>
      </c>
      <c r="H8" s="25">
        <f>IFERROR(I8/G8,0)</f>
        <v>6.501585471317383</v>
      </c>
      <c r="I8" s="24">
        <v>2255.4</v>
      </c>
      <c r="J8" s="26">
        <v>0</v>
      </c>
      <c r="K8" s="27">
        <f>IFERROR(L8/J8,0)</f>
        <v>0</v>
      </c>
      <c r="L8" s="26">
        <v>0</v>
      </c>
      <c r="M8" s="28">
        <v>0</v>
      </c>
      <c r="N8" s="29">
        <f>IFERROR(O8/M8,0)</f>
        <v>0</v>
      </c>
      <c r="O8" s="28">
        <v>0</v>
      </c>
      <c r="P8" s="30">
        <v>0</v>
      </c>
      <c r="Q8" s="31">
        <f>IFERROR(R8/P8,0)</f>
        <v>0</v>
      </c>
      <c r="R8" s="30">
        <v>0</v>
      </c>
      <c r="S8" s="32">
        <v>0</v>
      </c>
      <c r="T8" s="33">
        <f>IFERROR(U8/S8,0)</f>
        <v>0</v>
      </c>
      <c r="U8" s="32">
        <v>0</v>
      </c>
      <c r="V8" s="22">
        <v>0</v>
      </c>
      <c r="W8" s="23">
        <f>IFERROR(X8/V8,0)</f>
        <v>0</v>
      </c>
      <c r="X8" s="22">
        <v>0</v>
      </c>
      <c r="Y8" s="24">
        <v>0</v>
      </c>
      <c r="Z8" s="25">
        <f>IFERROR(AA8/Y8,0)</f>
        <v>0</v>
      </c>
      <c r="AA8" s="24">
        <v>0</v>
      </c>
      <c r="AB8" s="34">
        <f>SUM(D8,G8,J8,M8,P8,S8,V8,Y8)</f>
        <v>941.9</v>
      </c>
      <c r="AC8" s="34">
        <f>SUM(F8,I8,L8,O8,R8,U8,X8,AA8)</f>
        <v>7118.15</v>
      </c>
    </row>
    <row r="9" spans="1:29" x14ac:dyDescent="0.25">
      <c r="A9" s="20" t="s">
        <v>26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x14ac:dyDescent="0.25">
      <c r="A10" s="21" t="s">
        <v>27</v>
      </c>
      <c r="B10" s="21" t="s">
        <v>28</v>
      </c>
      <c r="C10" s="21" t="s">
        <v>23</v>
      </c>
      <c r="D10" s="22">
        <v>9</v>
      </c>
      <c r="E10" s="23">
        <f>IFERROR(F10/D10,0)</f>
        <v>0</v>
      </c>
      <c r="F10" s="22">
        <v>0</v>
      </c>
      <c r="G10" s="24">
        <v>0</v>
      </c>
      <c r="H10" s="25">
        <f>IFERROR(I10/G10,0)</f>
        <v>0</v>
      </c>
      <c r="I10" s="24">
        <v>0</v>
      </c>
      <c r="J10" s="26">
        <v>0</v>
      </c>
      <c r="K10" s="27">
        <f>IFERROR(L10/J10,0)</f>
        <v>0</v>
      </c>
      <c r="L10" s="26">
        <v>0</v>
      </c>
      <c r="M10" s="28">
        <v>0</v>
      </c>
      <c r="N10" s="29">
        <f>IFERROR(O10/M10,0)</f>
        <v>0</v>
      </c>
      <c r="O10" s="28">
        <v>0</v>
      </c>
      <c r="P10" s="30">
        <v>0</v>
      </c>
      <c r="Q10" s="31">
        <f>IFERROR(R10/P10,0)</f>
        <v>0</v>
      </c>
      <c r="R10" s="30">
        <v>0</v>
      </c>
      <c r="S10" s="32">
        <v>0</v>
      </c>
      <c r="T10" s="33">
        <f>IFERROR(U10/S10,0)</f>
        <v>0</v>
      </c>
      <c r="U10" s="32">
        <v>0</v>
      </c>
      <c r="V10" s="22">
        <v>0</v>
      </c>
      <c r="W10" s="23">
        <f>IFERROR(X10/V10,0)</f>
        <v>0</v>
      </c>
      <c r="X10" s="22">
        <v>0</v>
      </c>
      <c r="Y10" s="24">
        <v>0</v>
      </c>
      <c r="Z10" s="25">
        <f>IFERROR(AA10/Y10,0)</f>
        <v>0</v>
      </c>
      <c r="AA10" s="24">
        <v>0</v>
      </c>
      <c r="AB10" s="34">
        <f>SUM(D10,G10,J10,M10,P10,S10,V10,Y10)</f>
        <v>9</v>
      </c>
      <c r="AC10" s="34">
        <f>SUM(F10,I10,L10,O10,R10,U10,X10,AA10)</f>
        <v>0</v>
      </c>
    </row>
    <row r="11" spans="1:29" x14ac:dyDescent="0.25">
      <c r="A11" s="20" t="s">
        <v>29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x14ac:dyDescent="0.25">
      <c r="A12" s="21" t="s">
        <v>30</v>
      </c>
      <c r="B12" s="21" t="s">
        <v>31</v>
      </c>
      <c r="C12" s="21" t="s">
        <v>23</v>
      </c>
      <c r="D12" s="22">
        <v>6.6</v>
      </c>
      <c r="E12" s="23">
        <f>IFERROR(F12/D12,0)</f>
        <v>2.5</v>
      </c>
      <c r="F12" s="22">
        <v>16.5</v>
      </c>
      <c r="G12" s="24">
        <v>0</v>
      </c>
      <c r="H12" s="25">
        <f>IFERROR(I12/G12,0)</f>
        <v>0</v>
      </c>
      <c r="I12" s="24">
        <v>0</v>
      </c>
      <c r="J12" s="26">
        <v>0</v>
      </c>
      <c r="K12" s="27">
        <f>IFERROR(L12/J12,0)</f>
        <v>0</v>
      </c>
      <c r="L12" s="26">
        <v>0</v>
      </c>
      <c r="M12" s="28">
        <v>0</v>
      </c>
      <c r="N12" s="29">
        <f>IFERROR(O12/M12,0)</f>
        <v>0</v>
      </c>
      <c r="O12" s="28">
        <v>0</v>
      </c>
      <c r="P12" s="30">
        <v>0</v>
      </c>
      <c r="Q12" s="31">
        <f>IFERROR(R12/P12,0)</f>
        <v>0</v>
      </c>
      <c r="R12" s="30">
        <v>0</v>
      </c>
      <c r="S12" s="32">
        <v>0</v>
      </c>
      <c r="T12" s="33">
        <f>IFERROR(U12/S12,0)</f>
        <v>0</v>
      </c>
      <c r="U12" s="32">
        <v>0</v>
      </c>
      <c r="V12" s="22">
        <v>0</v>
      </c>
      <c r="W12" s="23">
        <f>IFERROR(X12/V12,0)</f>
        <v>0</v>
      </c>
      <c r="X12" s="22">
        <v>0</v>
      </c>
      <c r="Y12" s="24">
        <v>0</v>
      </c>
      <c r="Z12" s="25">
        <f>IFERROR(AA12/Y12,0)</f>
        <v>0</v>
      </c>
      <c r="AA12" s="24">
        <v>0</v>
      </c>
      <c r="AB12" s="34">
        <f>SUM(D12,G12,J12,M12,P12,S12,V12,Y12)</f>
        <v>6.6</v>
      </c>
      <c r="AC12" s="34">
        <f>SUM(F12,I12,L12,O12,R12,U12,X12,AA12)</f>
        <v>16.5</v>
      </c>
    </row>
    <row r="13" spans="1:29" x14ac:dyDescent="0.25">
      <c r="A13" s="21" t="s">
        <v>32</v>
      </c>
      <c r="B13" s="21" t="s">
        <v>33</v>
      </c>
      <c r="C13" s="21" t="s">
        <v>23</v>
      </c>
      <c r="D13" s="22">
        <v>20711.5</v>
      </c>
      <c r="E13" s="23">
        <f>IFERROR(F13/D13,0)</f>
        <v>2.5619356396205006</v>
      </c>
      <c r="F13" s="22">
        <v>53061.53</v>
      </c>
      <c r="G13" s="24">
        <v>0</v>
      </c>
      <c r="H13" s="25">
        <f>IFERROR(I13/G13,0)</f>
        <v>0</v>
      </c>
      <c r="I13" s="24">
        <v>0</v>
      </c>
      <c r="J13" s="26">
        <v>0</v>
      </c>
      <c r="K13" s="27">
        <f>IFERROR(L13/J13,0)</f>
        <v>0</v>
      </c>
      <c r="L13" s="26">
        <v>0</v>
      </c>
      <c r="M13" s="28">
        <v>0</v>
      </c>
      <c r="N13" s="29">
        <f>IFERROR(O13/M13,0)</f>
        <v>0</v>
      </c>
      <c r="O13" s="28">
        <v>0</v>
      </c>
      <c r="P13" s="30">
        <v>0</v>
      </c>
      <c r="Q13" s="31">
        <f>IFERROR(R13/P13,0)</f>
        <v>0</v>
      </c>
      <c r="R13" s="30">
        <v>0</v>
      </c>
      <c r="S13" s="32">
        <v>0</v>
      </c>
      <c r="T13" s="33">
        <f>IFERROR(U13/S13,0)</f>
        <v>0</v>
      </c>
      <c r="U13" s="32">
        <v>0</v>
      </c>
      <c r="V13" s="22">
        <v>0</v>
      </c>
      <c r="W13" s="23">
        <f>IFERROR(X13/V13,0)</f>
        <v>0</v>
      </c>
      <c r="X13" s="22">
        <v>0</v>
      </c>
      <c r="Y13" s="24">
        <v>0</v>
      </c>
      <c r="Z13" s="25">
        <f>IFERROR(AA13/Y13,0)</f>
        <v>0</v>
      </c>
      <c r="AA13" s="24">
        <v>0</v>
      </c>
      <c r="AB13" s="34">
        <f>SUM(D13,G13,J13,M13,P13,S13,V13,Y13)</f>
        <v>20711.5</v>
      </c>
      <c r="AC13" s="34">
        <f>SUM(F13,I13,L13,O13,R13,U13,X13,AA13)</f>
        <v>53061.53</v>
      </c>
    </row>
    <row r="14" spans="1:29" x14ac:dyDescent="0.25">
      <c r="A14" s="21" t="s">
        <v>34</v>
      </c>
      <c r="B14" s="21" t="s">
        <v>35</v>
      </c>
      <c r="C14" s="21" t="s">
        <v>23</v>
      </c>
      <c r="D14" s="22">
        <v>2420</v>
      </c>
      <c r="E14" s="23">
        <f>IFERROR(F14/D14,0)</f>
        <v>2.334710743801653</v>
      </c>
      <c r="F14" s="22">
        <v>5650</v>
      </c>
      <c r="G14" s="24">
        <v>0</v>
      </c>
      <c r="H14" s="25">
        <f>IFERROR(I14/G14,0)</f>
        <v>0</v>
      </c>
      <c r="I14" s="24">
        <v>0</v>
      </c>
      <c r="J14" s="26">
        <v>0</v>
      </c>
      <c r="K14" s="27">
        <f>IFERROR(L14/J14,0)</f>
        <v>0</v>
      </c>
      <c r="L14" s="26">
        <v>0</v>
      </c>
      <c r="M14" s="28">
        <v>0</v>
      </c>
      <c r="N14" s="29">
        <f>IFERROR(O14/M14,0)</f>
        <v>0</v>
      </c>
      <c r="O14" s="28">
        <v>0</v>
      </c>
      <c r="P14" s="30">
        <v>0</v>
      </c>
      <c r="Q14" s="31">
        <f>IFERROR(R14/P14,0)</f>
        <v>0</v>
      </c>
      <c r="R14" s="30">
        <v>0</v>
      </c>
      <c r="S14" s="32">
        <v>0</v>
      </c>
      <c r="T14" s="33">
        <f>IFERROR(U14/S14,0)</f>
        <v>0</v>
      </c>
      <c r="U14" s="32">
        <v>0</v>
      </c>
      <c r="V14" s="22">
        <v>0</v>
      </c>
      <c r="W14" s="23">
        <f>IFERROR(X14/V14,0)</f>
        <v>0</v>
      </c>
      <c r="X14" s="22">
        <v>0</v>
      </c>
      <c r="Y14" s="24">
        <v>0</v>
      </c>
      <c r="Z14" s="25">
        <f>IFERROR(AA14/Y14,0)</f>
        <v>0</v>
      </c>
      <c r="AA14" s="24">
        <v>0</v>
      </c>
      <c r="AB14" s="34">
        <f>SUM(D14,G14,J14,M14,P14,S14,V14,Y14)</f>
        <v>2420</v>
      </c>
      <c r="AC14" s="34">
        <f>SUM(F14,I14,L14,O14,R14,U14,X14,AA14)</f>
        <v>5650</v>
      </c>
    </row>
    <row r="15" spans="1:29" x14ac:dyDescent="0.25">
      <c r="A15" s="21" t="s">
        <v>36</v>
      </c>
      <c r="B15" s="21" t="s">
        <v>37</v>
      </c>
      <c r="C15" s="21" t="s">
        <v>23</v>
      </c>
      <c r="D15" s="22">
        <v>0</v>
      </c>
      <c r="E15" s="23">
        <f>IFERROR(F15/D15,0)</f>
        <v>0</v>
      </c>
      <c r="F15" s="22">
        <v>0</v>
      </c>
      <c r="G15" s="24">
        <v>3229.2</v>
      </c>
      <c r="H15" s="25">
        <f>IFERROR(I15/G15,0)</f>
        <v>2.5033197076675338</v>
      </c>
      <c r="I15" s="24">
        <v>8083.72</v>
      </c>
      <c r="J15" s="26">
        <v>0</v>
      </c>
      <c r="K15" s="27">
        <f>IFERROR(L15/J15,0)</f>
        <v>0</v>
      </c>
      <c r="L15" s="26">
        <v>0</v>
      </c>
      <c r="M15" s="28">
        <v>0</v>
      </c>
      <c r="N15" s="29">
        <f>IFERROR(O15/M15,0)</f>
        <v>0</v>
      </c>
      <c r="O15" s="28">
        <v>0</v>
      </c>
      <c r="P15" s="30">
        <v>0</v>
      </c>
      <c r="Q15" s="31">
        <f>IFERROR(R15/P15,0)</f>
        <v>0</v>
      </c>
      <c r="R15" s="30">
        <v>0</v>
      </c>
      <c r="S15" s="32">
        <v>28846.4</v>
      </c>
      <c r="T15" s="33">
        <f>IFERROR(U15/S15,0)</f>
        <v>3.2343724000221865</v>
      </c>
      <c r="U15" s="32">
        <v>93300</v>
      </c>
      <c r="V15" s="22">
        <v>0</v>
      </c>
      <c r="W15" s="23">
        <f>IFERROR(X15/V15,0)</f>
        <v>0</v>
      </c>
      <c r="X15" s="22">
        <v>0</v>
      </c>
      <c r="Y15" s="24">
        <v>0</v>
      </c>
      <c r="Z15" s="25">
        <f>IFERROR(AA15/Y15,0)</f>
        <v>0</v>
      </c>
      <c r="AA15" s="24">
        <v>0</v>
      </c>
      <c r="AB15" s="34">
        <f>SUM(D15,G15,J15,M15,P15,S15,V15,Y15)</f>
        <v>32075.600000000002</v>
      </c>
      <c r="AC15" s="34">
        <f>SUM(F15,I15,L15,O15,R15,U15,X15,AA15)</f>
        <v>101383.72</v>
      </c>
    </row>
    <row r="16" spans="1:29" x14ac:dyDescent="0.25">
      <c r="A16" s="21" t="s">
        <v>38</v>
      </c>
      <c r="B16" s="21" t="s">
        <v>39</v>
      </c>
      <c r="C16" s="21" t="s">
        <v>23</v>
      </c>
      <c r="D16" s="22">
        <v>55865.6</v>
      </c>
      <c r="E16" s="23">
        <f>IFERROR(F16/D16,0)</f>
        <v>2.8229427411501895</v>
      </c>
      <c r="F16" s="22">
        <v>157705.39</v>
      </c>
      <c r="G16" s="24">
        <v>0</v>
      </c>
      <c r="H16" s="25">
        <f>IFERROR(I16/G16,0)</f>
        <v>0</v>
      </c>
      <c r="I16" s="24">
        <v>0</v>
      </c>
      <c r="J16" s="26">
        <v>0</v>
      </c>
      <c r="K16" s="27">
        <f>IFERROR(L16/J16,0)</f>
        <v>0</v>
      </c>
      <c r="L16" s="26">
        <v>0</v>
      </c>
      <c r="M16" s="28">
        <v>0</v>
      </c>
      <c r="N16" s="29">
        <f>IFERROR(O16/M16,0)</f>
        <v>0</v>
      </c>
      <c r="O16" s="28">
        <v>0</v>
      </c>
      <c r="P16" s="30">
        <v>0</v>
      </c>
      <c r="Q16" s="31">
        <f>IFERROR(R16/P16,0)</f>
        <v>0</v>
      </c>
      <c r="R16" s="30">
        <v>0</v>
      </c>
      <c r="S16" s="32">
        <v>0</v>
      </c>
      <c r="T16" s="33">
        <f>IFERROR(U16/S16,0)</f>
        <v>0</v>
      </c>
      <c r="U16" s="32">
        <v>0</v>
      </c>
      <c r="V16" s="22">
        <v>0</v>
      </c>
      <c r="W16" s="23">
        <f>IFERROR(X16/V16,0)</f>
        <v>0</v>
      </c>
      <c r="X16" s="22">
        <v>0</v>
      </c>
      <c r="Y16" s="24">
        <v>0</v>
      </c>
      <c r="Z16" s="25">
        <f>IFERROR(AA16/Y16,0)</f>
        <v>0</v>
      </c>
      <c r="AA16" s="24">
        <v>0</v>
      </c>
      <c r="AB16" s="34">
        <f>SUM(D16,G16,J16,M16,P16,S16,V16,Y16)</f>
        <v>55865.6</v>
      </c>
      <c r="AC16" s="34">
        <f>SUM(F16,I16,L16,O16,R16,U16,X16,AA16)</f>
        <v>157705.39</v>
      </c>
    </row>
    <row r="17" spans="1:29" x14ac:dyDescent="0.25">
      <c r="A17" s="21" t="s">
        <v>40</v>
      </c>
      <c r="B17" s="21" t="s">
        <v>41</v>
      </c>
      <c r="C17" s="21" t="s">
        <v>23</v>
      </c>
      <c r="D17" s="22">
        <v>0</v>
      </c>
      <c r="E17" s="23">
        <f>IFERROR(F17/D17,0)</f>
        <v>0</v>
      </c>
      <c r="F17" s="22">
        <v>0</v>
      </c>
      <c r="G17" s="24">
        <v>188</v>
      </c>
      <c r="H17" s="25">
        <f>IFERROR(I17/G17,0)</f>
        <v>3.101063829787234</v>
      </c>
      <c r="I17" s="24">
        <v>583</v>
      </c>
      <c r="J17" s="26">
        <v>0</v>
      </c>
      <c r="K17" s="27">
        <f>IFERROR(L17/J17,0)</f>
        <v>0</v>
      </c>
      <c r="L17" s="26">
        <v>0</v>
      </c>
      <c r="M17" s="28">
        <v>0</v>
      </c>
      <c r="N17" s="29">
        <f>IFERROR(O17/M17,0)</f>
        <v>0</v>
      </c>
      <c r="O17" s="28">
        <v>0</v>
      </c>
      <c r="P17" s="30">
        <v>0</v>
      </c>
      <c r="Q17" s="31">
        <f>IFERROR(R17/P17,0)</f>
        <v>0</v>
      </c>
      <c r="R17" s="30">
        <v>0</v>
      </c>
      <c r="S17" s="32">
        <v>0</v>
      </c>
      <c r="T17" s="33">
        <f>IFERROR(U17/S17,0)</f>
        <v>0</v>
      </c>
      <c r="U17" s="32">
        <v>0</v>
      </c>
      <c r="V17" s="22">
        <v>0</v>
      </c>
      <c r="W17" s="23">
        <f>IFERROR(X17/V17,0)</f>
        <v>0</v>
      </c>
      <c r="X17" s="22">
        <v>0</v>
      </c>
      <c r="Y17" s="24">
        <v>0</v>
      </c>
      <c r="Z17" s="25">
        <f>IFERROR(AA17/Y17,0)</f>
        <v>0</v>
      </c>
      <c r="AA17" s="24">
        <v>0</v>
      </c>
      <c r="AB17" s="34">
        <f>SUM(D17,G17,J17,M17,P17,S17,V17,Y17)</f>
        <v>188</v>
      </c>
      <c r="AC17" s="34">
        <f>SUM(F17,I17,L17,O17,R17,U17,X17,AA17)</f>
        <v>583</v>
      </c>
    </row>
    <row r="18" spans="1:29" x14ac:dyDescent="0.25">
      <c r="A18" s="21" t="s">
        <v>42</v>
      </c>
      <c r="B18" s="21" t="s">
        <v>43</v>
      </c>
      <c r="C18" s="21" t="s">
        <v>23</v>
      </c>
      <c r="D18" s="22">
        <v>470</v>
      </c>
      <c r="E18" s="23">
        <f>IFERROR(F18/D18,0)</f>
        <v>1.044</v>
      </c>
      <c r="F18" s="22">
        <v>490.68</v>
      </c>
      <c r="G18" s="24">
        <v>0</v>
      </c>
      <c r="H18" s="25">
        <f>IFERROR(I18/G18,0)</f>
        <v>0</v>
      </c>
      <c r="I18" s="24">
        <v>0</v>
      </c>
      <c r="J18" s="26">
        <v>0</v>
      </c>
      <c r="K18" s="27">
        <f>IFERROR(L18/J18,0)</f>
        <v>0</v>
      </c>
      <c r="L18" s="26">
        <v>0</v>
      </c>
      <c r="M18" s="28">
        <v>0</v>
      </c>
      <c r="N18" s="29">
        <f>IFERROR(O18/M18,0)</f>
        <v>0</v>
      </c>
      <c r="O18" s="28">
        <v>0</v>
      </c>
      <c r="P18" s="30">
        <v>0</v>
      </c>
      <c r="Q18" s="31">
        <f>IFERROR(R18/P18,0)</f>
        <v>0</v>
      </c>
      <c r="R18" s="30">
        <v>0</v>
      </c>
      <c r="S18" s="32">
        <v>0</v>
      </c>
      <c r="T18" s="33">
        <f>IFERROR(U18/S18,0)</f>
        <v>0</v>
      </c>
      <c r="U18" s="32">
        <v>0</v>
      </c>
      <c r="V18" s="22">
        <v>0</v>
      </c>
      <c r="W18" s="23">
        <f>IFERROR(X18/V18,0)</f>
        <v>0</v>
      </c>
      <c r="X18" s="22">
        <v>0</v>
      </c>
      <c r="Y18" s="24">
        <v>0</v>
      </c>
      <c r="Z18" s="25">
        <f>IFERROR(AA18/Y18,0)</f>
        <v>0</v>
      </c>
      <c r="AA18" s="24">
        <v>0</v>
      </c>
      <c r="AB18" s="34">
        <f>SUM(D18,G18,J18,M18,P18,S18,V18,Y18)</f>
        <v>470</v>
      </c>
      <c r="AC18" s="34">
        <f>SUM(F18,I18,L18,O18,R18,U18,X18,AA18)</f>
        <v>490.68</v>
      </c>
    </row>
    <row r="19" spans="1:29" x14ac:dyDescent="0.25">
      <c r="A19" s="21" t="s">
        <v>44</v>
      </c>
      <c r="B19" s="21" t="s">
        <v>45</v>
      </c>
      <c r="C19" s="21" t="s">
        <v>23</v>
      </c>
      <c r="D19" s="22">
        <v>0</v>
      </c>
      <c r="E19" s="23">
        <f>IFERROR(F19/D19,0)</f>
        <v>0</v>
      </c>
      <c r="F19" s="22">
        <v>0</v>
      </c>
      <c r="G19" s="24">
        <v>3.7</v>
      </c>
      <c r="H19" s="25">
        <f>IFERROR(I19/G19,0)</f>
        <v>4</v>
      </c>
      <c r="I19" s="24">
        <v>14.8</v>
      </c>
      <c r="J19" s="26">
        <v>0</v>
      </c>
      <c r="K19" s="27">
        <f>IFERROR(L19/J19,0)</f>
        <v>0</v>
      </c>
      <c r="L19" s="26">
        <v>0</v>
      </c>
      <c r="M19" s="28">
        <v>0</v>
      </c>
      <c r="N19" s="29">
        <f>IFERROR(O19/M19,0)</f>
        <v>0</v>
      </c>
      <c r="O19" s="28">
        <v>0</v>
      </c>
      <c r="P19" s="30">
        <v>0</v>
      </c>
      <c r="Q19" s="31">
        <f>IFERROR(R19/P19,0)</f>
        <v>0</v>
      </c>
      <c r="R19" s="30">
        <v>0</v>
      </c>
      <c r="S19" s="32">
        <v>0</v>
      </c>
      <c r="T19" s="33">
        <f>IFERROR(U19/S19,0)</f>
        <v>0</v>
      </c>
      <c r="U19" s="32">
        <v>0</v>
      </c>
      <c r="V19" s="22">
        <v>0</v>
      </c>
      <c r="W19" s="23">
        <f>IFERROR(X19/V19,0)</f>
        <v>0</v>
      </c>
      <c r="X19" s="22">
        <v>0</v>
      </c>
      <c r="Y19" s="24">
        <v>0</v>
      </c>
      <c r="Z19" s="25">
        <f>IFERROR(AA19/Y19,0)</f>
        <v>0</v>
      </c>
      <c r="AA19" s="24">
        <v>0</v>
      </c>
      <c r="AB19" s="34">
        <f>SUM(D19,G19,J19,M19,P19,S19,V19,Y19)</f>
        <v>3.7</v>
      </c>
      <c r="AC19" s="34">
        <f>SUM(F19,I19,L19,O19,R19,U19,X19,AA19)</f>
        <v>14.8</v>
      </c>
    </row>
    <row r="20" spans="1:29" x14ac:dyDescent="0.25">
      <c r="A20" s="21" t="s">
        <v>46</v>
      </c>
      <c r="B20" s="21" t="s">
        <v>47</v>
      </c>
      <c r="C20" s="21" t="s">
        <v>23</v>
      </c>
      <c r="D20" s="22">
        <v>8427</v>
      </c>
      <c r="E20" s="23">
        <f>IFERROR(F20/D20,0)</f>
        <v>2.8106087575649696</v>
      </c>
      <c r="F20" s="22">
        <v>23685</v>
      </c>
      <c r="G20" s="24">
        <v>0</v>
      </c>
      <c r="H20" s="25">
        <f>IFERROR(I20/G20,0)</f>
        <v>0</v>
      </c>
      <c r="I20" s="24">
        <v>0</v>
      </c>
      <c r="J20" s="26">
        <v>0</v>
      </c>
      <c r="K20" s="27">
        <f>IFERROR(L20/J20,0)</f>
        <v>0</v>
      </c>
      <c r="L20" s="26">
        <v>0</v>
      </c>
      <c r="M20" s="28">
        <v>0</v>
      </c>
      <c r="N20" s="29">
        <f>IFERROR(O20/M20,0)</f>
        <v>0</v>
      </c>
      <c r="O20" s="28">
        <v>0</v>
      </c>
      <c r="P20" s="30">
        <v>0</v>
      </c>
      <c r="Q20" s="31">
        <f>IFERROR(R20/P20,0)</f>
        <v>0</v>
      </c>
      <c r="R20" s="30">
        <v>0</v>
      </c>
      <c r="S20" s="32">
        <v>0</v>
      </c>
      <c r="T20" s="33">
        <f>IFERROR(U20/S20,0)</f>
        <v>0</v>
      </c>
      <c r="U20" s="32">
        <v>0</v>
      </c>
      <c r="V20" s="22">
        <v>0</v>
      </c>
      <c r="W20" s="23">
        <f>IFERROR(X20/V20,0)</f>
        <v>0</v>
      </c>
      <c r="X20" s="22">
        <v>0</v>
      </c>
      <c r="Y20" s="24">
        <v>0</v>
      </c>
      <c r="Z20" s="25">
        <f>IFERROR(AA20/Y20,0)</f>
        <v>0</v>
      </c>
      <c r="AA20" s="24">
        <v>0</v>
      </c>
      <c r="AB20" s="34">
        <f>SUM(D20,G20,J20,M20,P20,S20,V20,Y20)</f>
        <v>8427</v>
      </c>
      <c r="AC20" s="34">
        <f>SUM(F20,I20,L20,O20,R20,U20,X20,AA20)</f>
        <v>23685</v>
      </c>
    </row>
    <row r="21" spans="1:29" x14ac:dyDescent="0.25">
      <c r="A21" s="20" t="s">
        <v>48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x14ac:dyDescent="0.25">
      <c r="A22" s="21" t="s">
        <v>49</v>
      </c>
      <c r="B22" s="21" t="s">
        <v>50</v>
      </c>
      <c r="C22" s="21" t="s">
        <v>23</v>
      </c>
      <c r="D22" s="22">
        <v>14</v>
      </c>
      <c r="E22" s="23">
        <f>IFERROR(F22/D22,0)</f>
        <v>74</v>
      </c>
      <c r="F22" s="22">
        <v>1036</v>
      </c>
      <c r="G22" s="24">
        <v>0</v>
      </c>
      <c r="H22" s="25">
        <f>IFERROR(I22/G22,0)</f>
        <v>0</v>
      </c>
      <c r="I22" s="24">
        <v>0</v>
      </c>
      <c r="J22" s="26">
        <v>0</v>
      </c>
      <c r="K22" s="27">
        <f>IFERROR(L22/J22,0)</f>
        <v>0</v>
      </c>
      <c r="L22" s="26">
        <v>0</v>
      </c>
      <c r="M22" s="28">
        <v>0</v>
      </c>
      <c r="N22" s="29">
        <f>IFERROR(O22/M22,0)</f>
        <v>0</v>
      </c>
      <c r="O22" s="28">
        <v>0</v>
      </c>
      <c r="P22" s="30">
        <v>0</v>
      </c>
      <c r="Q22" s="31">
        <f>IFERROR(R22/P22,0)</f>
        <v>0</v>
      </c>
      <c r="R22" s="30">
        <v>0</v>
      </c>
      <c r="S22" s="32">
        <v>0</v>
      </c>
      <c r="T22" s="33">
        <f>IFERROR(U22/S22,0)</f>
        <v>0</v>
      </c>
      <c r="U22" s="32">
        <v>0</v>
      </c>
      <c r="V22" s="22">
        <v>0</v>
      </c>
      <c r="W22" s="23">
        <f>IFERROR(X22/V22,0)</f>
        <v>0</v>
      </c>
      <c r="X22" s="22">
        <v>0</v>
      </c>
      <c r="Y22" s="24">
        <v>0</v>
      </c>
      <c r="Z22" s="25">
        <f>IFERROR(AA22/Y22,0)</f>
        <v>0</v>
      </c>
      <c r="AA22" s="24">
        <v>0</v>
      </c>
      <c r="AB22" s="34">
        <f>SUM(D22,G22,J22,M22,P22,S22,V22,Y22)</f>
        <v>14</v>
      </c>
      <c r="AC22" s="34">
        <f>SUM(F22,I22,L22,O22,R22,U22,X22,AA22)</f>
        <v>1036</v>
      </c>
    </row>
    <row r="23" spans="1:29" x14ac:dyDescent="0.25">
      <c r="A23" s="21" t="s">
        <v>51</v>
      </c>
      <c r="B23" s="21" t="s">
        <v>52</v>
      </c>
      <c r="C23" s="21" t="s">
        <v>23</v>
      </c>
      <c r="D23" s="22">
        <v>0</v>
      </c>
      <c r="E23" s="23">
        <f>IFERROR(F23/D23,0)</f>
        <v>0</v>
      </c>
      <c r="F23" s="22">
        <v>0</v>
      </c>
      <c r="G23" s="24">
        <v>12.9</v>
      </c>
      <c r="H23" s="25">
        <f>IFERROR(I23/G23,0)</f>
        <v>18.635658914728683</v>
      </c>
      <c r="I23" s="24">
        <v>240.4</v>
      </c>
      <c r="J23" s="26">
        <v>0</v>
      </c>
      <c r="K23" s="27">
        <f>IFERROR(L23/J23,0)</f>
        <v>0</v>
      </c>
      <c r="L23" s="26">
        <v>0</v>
      </c>
      <c r="M23" s="28">
        <v>0</v>
      </c>
      <c r="N23" s="29">
        <f>IFERROR(O23/M23,0)</f>
        <v>0</v>
      </c>
      <c r="O23" s="28">
        <v>0</v>
      </c>
      <c r="P23" s="30">
        <v>0</v>
      </c>
      <c r="Q23" s="31">
        <f>IFERROR(R23/P23,0)</f>
        <v>0</v>
      </c>
      <c r="R23" s="30">
        <v>0</v>
      </c>
      <c r="S23" s="32">
        <v>0</v>
      </c>
      <c r="T23" s="33">
        <f>IFERROR(U23/S23,0)</f>
        <v>0</v>
      </c>
      <c r="U23" s="32">
        <v>0</v>
      </c>
      <c r="V23" s="22">
        <v>0</v>
      </c>
      <c r="W23" s="23">
        <f>IFERROR(X23/V23,0)</f>
        <v>0</v>
      </c>
      <c r="X23" s="22">
        <v>0</v>
      </c>
      <c r="Y23" s="24">
        <v>0</v>
      </c>
      <c r="Z23" s="25">
        <f>IFERROR(AA23/Y23,0)</f>
        <v>0</v>
      </c>
      <c r="AA23" s="24">
        <v>0</v>
      </c>
      <c r="AB23" s="34">
        <f>SUM(D23,G23,J23,M23,P23,S23,V23,Y23)</f>
        <v>12.9</v>
      </c>
      <c r="AC23" s="34">
        <f>SUM(F23,I23,L23,O23,R23,U23,X23,AA23)</f>
        <v>240.4</v>
      </c>
    </row>
    <row r="24" spans="1:29" x14ac:dyDescent="0.25">
      <c r="A24" s="21" t="s">
        <v>53</v>
      </c>
      <c r="B24" s="21" t="s">
        <v>54</v>
      </c>
      <c r="C24" s="21" t="s">
        <v>23</v>
      </c>
      <c r="D24" s="22">
        <v>354.5</v>
      </c>
      <c r="E24" s="23">
        <f>IFERROR(F24/D24,0)</f>
        <v>21.15373765867419</v>
      </c>
      <c r="F24" s="22">
        <v>7499</v>
      </c>
      <c r="G24" s="24">
        <v>31.9</v>
      </c>
      <c r="H24" s="25">
        <f>IFERROR(I24/G24,0)</f>
        <v>22.225705329153605</v>
      </c>
      <c r="I24" s="24">
        <v>709</v>
      </c>
      <c r="J24" s="26">
        <v>0</v>
      </c>
      <c r="K24" s="27">
        <f>IFERROR(L24/J24,0)</f>
        <v>0</v>
      </c>
      <c r="L24" s="26">
        <v>0</v>
      </c>
      <c r="M24" s="28">
        <v>0</v>
      </c>
      <c r="N24" s="29">
        <f>IFERROR(O24/M24,0)</f>
        <v>0</v>
      </c>
      <c r="O24" s="28">
        <v>0</v>
      </c>
      <c r="P24" s="30">
        <v>0</v>
      </c>
      <c r="Q24" s="31">
        <f>IFERROR(R24/P24,0)</f>
        <v>0</v>
      </c>
      <c r="R24" s="30">
        <v>0</v>
      </c>
      <c r="S24" s="32">
        <v>231.5</v>
      </c>
      <c r="T24" s="33">
        <f>IFERROR(U24/S24,0)</f>
        <v>28</v>
      </c>
      <c r="U24" s="32">
        <v>6482</v>
      </c>
      <c r="V24" s="22">
        <v>0</v>
      </c>
      <c r="W24" s="23">
        <f>IFERROR(X24/V24,0)</f>
        <v>0</v>
      </c>
      <c r="X24" s="22">
        <v>0</v>
      </c>
      <c r="Y24" s="24">
        <v>0</v>
      </c>
      <c r="Z24" s="25">
        <f>IFERROR(AA24/Y24,0)</f>
        <v>0</v>
      </c>
      <c r="AA24" s="24">
        <v>0</v>
      </c>
      <c r="AB24" s="34">
        <f>SUM(D24,G24,J24,M24,P24,S24,V24,Y24)</f>
        <v>617.9</v>
      </c>
      <c r="AC24" s="34">
        <f>SUM(F24,I24,L24,O24,R24,U24,X24,AA24)</f>
        <v>14690</v>
      </c>
    </row>
    <row r="25" spans="1:29" x14ac:dyDescent="0.25">
      <c r="A25" s="21" t="s">
        <v>55</v>
      </c>
      <c r="B25" s="21" t="s">
        <v>56</v>
      </c>
      <c r="C25" s="21" t="s">
        <v>23</v>
      </c>
      <c r="D25" s="22">
        <v>0</v>
      </c>
      <c r="E25" s="23">
        <f>IFERROR(F25/D25,0)</f>
        <v>0</v>
      </c>
      <c r="F25" s="22">
        <v>0</v>
      </c>
      <c r="G25" s="24">
        <v>6.7</v>
      </c>
      <c r="H25" s="25">
        <f>IFERROR(I25/G25,0)</f>
        <v>9.626865671641792</v>
      </c>
      <c r="I25" s="24">
        <v>64.5</v>
      </c>
      <c r="J25" s="26">
        <v>0</v>
      </c>
      <c r="K25" s="27">
        <f>IFERROR(L25/J25,0)</f>
        <v>0</v>
      </c>
      <c r="L25" s="26">
        <v>0</v>
      </c>
      <c r="M25" s="28">
        <v>0</v>
      </c>
      <c r="N25" s="29">
        <f>IFERROR(O25/M25,0)</f>
        <v>0</v>
      </c>
      <c r="O25" s="28">
        <v>0</v>
      </c>
      <c r="P25" s="30">
        <v>0</v>
      </c>
      <c r="Q25" s="31">
        <f>IFERROR(R25/P25,0)</f>
        <v>0</v>
      </c>
      <c r="R25" s="30">
        <v>0</v>
      </c>
      <c r="S25" s="32">
        <v>0</v>
      </c>
      <c r="T25" s="33">
        <f>IFERROR(U25/S25,0)</f>
        <v>0</v>
      </c>
      <c r="U25" s="32">
        <v>0</v>
      </c>
      <c r="V25" s="22">
        <v>0</v>
      </c>
      <c r="W25" s="23">
        <f>IFERROR(X25/V25,0)</f>
        <v>0</v>
      </c>
      <c r="X25" s="22">
        <v>0</v>
      </c>
      <c r="Y25" s="24">
        <v>0</v>
      </c>
      <c r="Z25" s="25">
        <f>IFERROR(AA25/Y25,0)</f>
        <v>0</v>
      </c>
      <c r="AA25" s="24">
        <v>0</v>
      </c>
      <c r="AB25" s="34">
        <f>SUM(D25,G25,J25,M25,P25,S25,V25,Y25)</f>
        <v>6.7</v>
      </c>
      <c r="AC25" s="34">
        <f>SUM(F25,I25,L25,O25,R25,U25,X25,AA25)</f>
        <v>64.5</v>
      </c>
    </row>
    <row r="26" spans="1:29" x14ac:dyDescent="0.25">
      <c r="A26" s="21" t="s">
        <v>57</v>
      </c>
      <c r="B26" s="21" t="s">
        <v>58</v>
      </c>
      <c r="C26" s="21" t="s">
        <v>23</v>
      </c>
      <c r="D26" s="22">
        <v>601</v>
      </c>
      <c r="E26" s="23">
        <f>IFERROR(F26/D26,0)</f>
        <v>22.47587354409318</v>
      </c>
      <c r="F26" s="22">
        <v>13508</v>
      </c>
      <c r="G26" s="24">
        <v>45.8</v>
      </c>
      <c r="H26" s="25">
        <f>IFERROR(I26/G26,0)</f>
        <v>21.868995633187776</v>
      </c>
      <c r="I26" s="24">
        <v>1001.6</v>
      </c>
      <c r="J26" s="26">
        <v>0</v>
      </c>
      <c r="K26" s="27">
        <f>IFERROR(L26/J26,0)</f>
        <v>0</v>
      </c>
      <c r="L26" s="26">
        <v>0</v>
      </c>
      <c r="M26" s="28">
        <v>0</v>
      </c>
      <c r="N26" s="29">
        <f>IFERROR(O26/M26,0)</f>
        <v>0</v>
      </c>
      <c r="O26" s="28">
        <v>0</v>
      </c>
      <c r="P26" s="30">
        <v>0</v>
      </c>
      <c r="Q26" s="31">
        <f>IFERROR(R26/P26,0)</f>
        <v>0</v>
      </c>
      <c r="R26" s="30">
        <v>0</v>
      </c>
      <c r="S26" s="32">
        <v>165.5</v>
      </c>
      <c r="T26" s="33">
        <f>IFERROR(U26/S26,0)</f>
        <v>24.468277945619334</v>
      </c>
      <c r="U26" s="32">
        <v>4049.5</v>
      </c>
      <c r="V26" s="22">
        <v>0</v>
      </c>
      <c r="W26" s="23">
        <f>IFERROR(X26/V26,0)</f>
        <v>0</v>
      </c>
      <c r="X26" s="22">
        <v>0</v>
      </c>
      <c r="Y26" s="24">
        <v>0</v>
      </c>
      <c r="Z26" s="25">
        <f>IFERROR(AA26/Y26,0)</f>
        <v>0</v>
      </c>
      <c r="AA26" s="24">
        <v>0</v>
      </c>
      <c r="AB26" s="34">
        <f>SUM(D26,G26,J26,M26,P26,S26,V26,Y26)</f>
        <v>812.3</v>
      </c>
      <c r="AC26" s="34">
        <f>SUM(F26,I26,L26,O26,R26,U26,X26,AA26)</f>
        <v>18559.1</v>
      </c>
    </row>
    <row r="27" spans="1:29" x14ac:dyDescent="0.25">
      <c r="A27" s="21" t="s">
        <v>59</v>
      </c>
      <c r="B27" s="21" t="s">
        <v>60</v>
      </c>
      <c r="C27" s="21" t="s">
        <v>23</v>
      </c>
      <c r="D27" s="22">
        <v>12308.5</v>
      </c>
      <c r="E27" s="23">
        <f>IFERROR(F27/D27,0)</f>
        <v>23.57293740098306</v>
      </c>
      <c r="F27" s="22">
        <v>290147.5</v>
      </c>
      <c r="G27" s="24">
        <v>2110.3</v>
      </c>
      <c r="H27" s="25">
        <f>IFERROR(I27/G27,0)</f>
        <v>22.27023645927119</v>
      </c>
      <c r="I27" s="24">
        <v>46996.88</v>
      </c>
      <c r="J27" s="26">
        <v>0</v>
      </c>
      <c r="K27" s="27">
        <f>IFERROR(L27/J27,0)</f>
        <v>0</v>
      </c>
      <c r="L27" s="26">
        <v>0</v>
      </c>
      <c r="M27" s="28">
        <v>157.7</v>
      </c>
      <c r="N27" s="29">
        <f>IFERROR(O27/M27,0)</f>
        <v>24.547558655675335</v>
      </c>
      <c r="O27" s="28">
        <v>3871.15</v>
      </c>
      <c r="P27" s="30">
        <v>0</v>
      </c>
      <c r="Q27" s="31">
        <f>IFERROR(R27/P27,0)</f>
        <v>0</v>
      </c>
      <c r="R27" s="30">
        <v>0</v>
      </c>
      <c r="S27" s="32">
        <v>3422.5</v>
      </c>
      <c r="T27" s="33">
        <f>IFERROR(U27/S27,0)</f>
        <v>23.29919649379109</v>
      </c>
      <c r="U27" s="32">
        <v>79741.5</v>
      </c>
      <c r="V27" s="22">
        <v>0</v>
      </c>
      <c r="W27" s="23">
        <f>IFERROR(X27/V27,0)</f>
        <v>0</v>
      </c>
      <c r="X27" s="22">
        <v>0</v>
      </c>
      <c r="Y27" s="24">
        <v>0</v>
      </c>
      <c r="Z27" s="25">
        <f>IFERROR(AA27/Y27,0)</f>
        <v>0</v>
      </c>
      <c r="AA27" s="24">
        <v>0</v>
      </c>
      <c r="AB27" s="34">
        <f>SUM(D27,G27,J27,M27,P27,S27,V27,Y27)</f>
        <v>17999</v>
      </c>
      <c r="AC27" s="34">
        <f>SUM(F27,I27,L27,O27,R27,U27,X27,AA27)</f>
        <v>420757.03</v>
      </c>
    </row>
    <row r="28" spans="1:29" x14ac:dyDescent="0.25">
      <c r="A28" s="21" t="s">
        <v>61</v>
      </c>
      <c r="B28" s="21" t="s">
        <v>62</v>
      </c>
      <c r="C28" s="21" t="s">
        <v>23</v>
      </c>
      <c r="D28" s="22">
        <v>2784</v>
      </c>
      <c r="E28" s="23">
        <f>IFERROR(F28/D28,0)</f>
        <v>15.561961206896552</v>
      </c>
      <c r="F28" s="22">
        <v>43324.5</v>
      </c>
      <c r="G28" s="24">
        <v>515.7</v>
      </c>
      <c r="H28" s="25">
        <f>IFERROR(I28/G28,0)</f>
        <v>14.29920496412643</v>
      </c>
      <c r="I28" s="24">
        <v>7374.1</v>
      </c>
      <c r="J28" s="26">
        <v>0</v>
      </c>
      <c r="K28" s="27">
        <f>IFERROR(L28/J28,0)</f>
        <v>0</v>
      </c>
      <c r="L28" s="26">
        <v>0</v>
      </c>
      <c r="M28" s="28">
        <v>0</v>
      </c>
      <c r="N28" s="29">
        <f>IFERROR(O28/M28,0)</f>
        <v>0</v>
      </c>
      <c r="O28" s="28">
        <v>0</v>
      </c>
      <c r="P28" s="30">
        <v>0</v>
      </c>
      <c r="Q28" s="31">
        <f>IFERROR(R28/P28,0)</f>
        <v>0</v>
      </c>
      <c r="R28" s="30">
        <v>0</v>
      </c>
      <c r="S28" s="32">
        <v>0</v>
      </c>
      <c r="T28" s="33">
        <f>IFERROR(U28/S28,0)</f>
        <v>0</v>
      </c>
      <c r="U28" s="32">
        <v>0</v>
      </c>
      <c r="V28" s="22">
        <v>0</v>
      </c>
      <c r="W28" s="23">
        <f>IFERROR(X28/V28,0)</f>
        <v>0</v>
      </c>
      <c r="X28" s="22">
        <v>0</v>
      </c>
      <c r="Y28" s="24">
        <v>0</v>
      </c>
      <c r="Z28" s="25">
        <f>IFERROR(AA28/Y28,0)</f>
        <v>0</v>
      </c>
      <c r="AA28" s="24">
        <v>0</v>
      </c>
      <c r="AB28" s="34">
        <f>SUM(D28,G28,J28,M28,P28,S28,V28,Y28)</f>
        <v>3299.7</v>
      </c>
      <c r="AC28" s="34">
        <f>SUM(F28,I28,L28,O28,R28,U28,X28,AA28)</f>
        <v>50698.6</v>
      </c>
    </row>
    <row r="29" spans="1:29" x14ac:dyDescent="0.25">
      <c r="A29" s="21" t="s">
        <v>63</v>
      </c>
      <c r="B29" s="21" t="s">
        <v>64</v>
      </c>
      <c r="C29" s="21" t="s">
        <v>23</v>
      </c>
      <c r="D29" s="22">
        <v>1858.4</v>
      </c>
      <c r="E29" s="23">
        <f>IFERROR(F29/D29,0)</f>
        <v>22.174558760223846</v>
      </c>
      <c r="F29" s="22">
        <v>41209.2</v>
      </c>
      <c r="G29" s="24">
        <v>1034.5</v>
      </c>
      <c r="H29" s="25">
        <f>IFERROR(I29/G29,0)</f>
        <v>22.0434026099565</v>
      </c>
      <c r="I29" s="24">
        <v>22803.9</v>
      </c>
      <c r="J29" s="26">
        <v>0</v>
      </c>
      <c r="K29" s="27">
        <f>IFERROR(L29/J29,0)</f>
        <v>0</v>
      </c>
      <c r="L29" s="26">
        <v>0</v>
      </c>
      <c r="M29" s="28">
        <v>0</v>
      </c>
      <c r="N29" s="29">
        <f>IFERROR(O29/M29,0)</f>
        <v>0</v>
      </c>
      <c r="O29" s="28">
        <v>0</v>
      </c>
      <c r="P29" s="30">
        <v>0</v>
      </c>
      <c r="Q29" s="31">
        <f>IFERROR(R29/P29,0)</f>
        <v>0</v>
      </c>
      <c r="R29" s="30">
        <v>0</v>
      </c>
      <c r="S29" s="32">
        <v>0</v>
      </c>
      <c r="T29" s="33">
        <f>IFERROR(U29/S29,0)</f>
        <v>0</v>
      </c>
      <c r="U29" s="32">
        <v>0</v>
      </c>
      <c r="V29" s="22">
        <v>0</v>
      </c>
      <c r="W29" s="23">
        <f>IFERROR(X29/V29,0)</f>
        <v>0</v>
      </c>
      <c r="X29" s="22">
        <v>0</v>
      </c>
      <c r="Y29" s="24">
        <v>0</v>
      </c>
      <c r="Z29" s="25">
        <f>IFERROR(AA29/Y29,0)</f>
        <v>0</v>
      </c>
      <c r="AA29" s="24">
        <v>0</v>
      </c>
      <c r="AB29" s="34">
        <f>SUM(D29,G29,J29,M29,P29,S29,V29,Y29)</f>
        <v>2892.9</v>
      </c>
      <c r="AC29" s="34">
        <f>SUM(F29,I29,L29,O29,R29,U29,X29,AA29)</f>
        <v>64013.1</v>
      </c>
    </row>
    <row r="30" spans="1:29" x14ac:dyDescent="0.25">
      <c r="A30" s="21" t="s">
        <v>65</v>
      </c>
      <c r="B30" s="21" t="s">
        <v>66</v>
      </c>
      <c r="C30" s="21" t="s">
        <v>23</v>
      </c>
      <c r="D30" s="22">
        <v>29915</v>
      </c>
      <c r="E30" s="23">
        <f>IFERROR(F30/D30,0)</f>
        <v>23.732993481531004</v>
      </c>
      <c r="F30" s="22">
        <v>709972.5</v>
      </c>
      <c r="G30" s="24">
        <v>3658.7</v>
      </c>
      <c r="H30" s="25">
        <f>IFERROR(I30/G30,0)</f>
        <v>23.149998633394375</v>
      </c>
      <c r="I30" s="24">
        <v>84698.9</v>
      </c>
      <c r="J30" s="26">
        <v>0</v>
      </c>
      <c r="K30" s="27">
        <f>IFERROR(L30/J30,0)</f>
        <v>0</v>
      </c>
      <c r="L30" s="26">
        <v>0</v>
      </c>
      <c r="M30" s="28">
        <v>1626</v>
      </c>
      <c r="N30" s="29">
        <f>IFERROR(O30/M30,0)</f>
        <v>23.783825338253383</v>
      </c>
      <c r="O30" s="28">
        <v>38672.5</v>
      </c>
      <c r="P30" s="30">
        <v>0</v>
      </c>
      <c r="Q30" s="31">
        <f>IFERROR(R30/P30,0)</f>
        <v>0</v>
      </c>
      <c r="R30" s="30">
        <v>0</v>
      </c>
      <c r="S30" s="32">
        <v>10292.5</v>
      </c>
      <c r="T30" s="33">
        <f>IFERROR(U30/S30,0)</f>
        <v>25.439786252125334</v>
      </c>
      <c r="U30" s="32">
        <v>261839</v>
      </c>
      <c r="V30" s="22">
        <v>0</v>
      </c>
      <c r="W30" s="23">
        <f>IFERROR(X30/V30,0)</f>
        <v>0</v>
      </c>
      <c r="X30" s="22">
        <v>0</v>
      </c>
      <c r="Y30" s="24">
        <v>0</v>
      </c>
      <c r="Z30" s="25">
        <f>IFERROR(AA30/Y30,0)</f>
        <v>0</v>
      </c>
      <c r="AA30" s="24">
        <v>0</v>
      </c>
      <c r="AB30" s="34">
        <f>SUM(D30,G30,J30,M30,P30,S30,V30,Y30)</f>
        <v>45492.2</v>
      </c>
      <c r="AC30" s="34">
        <f>SUM(F30,I30,L30,O30,R30,U30,X30,AA30)</f>
        <v>1095182.9</v>
      </c>
    </row>
    <row r="31" spans="1:29" x14ac:dyDescent="0.25">
      <c r="A31" s="21" t="s">
        <v>67</v>
      </c>
      <c r="B31" s="21" t="s">
        <v>68</v>
      </c>
      <c r="C31" s="21" t="s">
        <v>23</v>
      </c>
      <c r="D31" s="22">
        <v>11530.5</v>
      </c>
      <c r="E31" s="23">
        <f>IFERROR(F31/D31,0)</f>
        <v>23.367408178309702</v>
      </c>
      <c r="F31" s="22">
        <v>269437.9</v>
      </c>
      <c r="G31" s="24">
        <v>1145.4</v>
      </c>
      <c r="H31" s="25">
        <f>IFERROR(I31/G31,0)</f>
        <v>22.37483848437227</v>
      </c>
      <c r="I31" s="24">
        <v>25628.14</v>
      </c>
      <c r="J31" s="26">
        <v>0</v>
      </c>
      <c r="K31" s="27">
        <f>IFERROR(L31/J31,0)</f>
        <v>0</v>
      </c>
      <c r="L31" s="26">
        <v>0</v>
      </c>
      <c r="M31" s="28">
        <v>0</v>
      </c>
      <c r="N31" s="29">
        <f>IFERROR(O31/M31,0)</f>
        <v>0</v>
      </c>
      <c r="O31" s="28">
        <v>0</v>
      </c>
      <c r="P31" s="30">
        <v>0</v>
      </c>
      <c r="Q31" s="31">
        <f>IFERROR(R31/P31,0)</f>
        <v>0</v>
      </c>
      <c r="R31" s="30">
        <v>0</v>
      </c>
      <c r="S31" s="32">
        <v>1938</v>
      </c>
      <c r="T31" s="33">
        <f>IFERROR(U31/S31,0)</f>
        <v>23.979618163054695</v>
      </c>
      <c r="U31" s="32">
        <v>46472.5</v>
      </c>
      <c r="V31" s="22">
        <v>0</v>
      </c>
      <c r="W31" s="23">
        <f>IFERROR(X31/V31,0)</f>
        <v>0</v>
      </c>
      <c r="X31" s="22">
        <v>0</v>
      </c>
      <c r="Y31" s="24">
        <v>0</v>
      </c>
      <c r="Z31" s="25">
        <f>IFERROR(AA31/Y31,0)</f>
        <v>0</v>
      </c>
      <c r="AA31" s="24">
        <v>0</v>
      </c>
      <c r="AB31" s="34">
        <f>SUM(D31,G31,J31,M31,P31,S31,V31,Y31)</f>
        <v>14613.9</v>
      </c>
      <c r="AC31" s="34">
        <f>SUM(F31,I31,L31,O31,R31,U31,X31,AA31)</f>
        <v>341538.54000000004</v>
      </c>
    </row>
    <row r="32" spans="1:29" x14ac:dyDescent="0.25">
      <c r="A32" s="21" t="s">
        <v>69</v>
      </c>
      <c r="B32" s="21" t="s">
        <v>70</v>
      </c>
      <c r="C32" s="21" t="s">
        <v>23</v>
      </c>
      <c r="D32" s="22">
        <v>1588.1</v>
      </c>
      <c r="E32" s="23">
        <f>IFERROR(F32/D32,0)</f>
        <v>21.018953466406398</v>
      </c>
      <c r="F32" s="22">
        <v>33380.2</v>
      </c>
      <c r="G32" s="24">
        <v>1392.6</v>
      </c>
      <c r="H32" s="25">
        <f>IFERROR(I32/G32,0)</f>
        <v>22.422734453540144</v>
      </c>
      <c r="I32" s="24">
        <v>31225.9</v>
      </c>
      <c r="J32" s="26">
        <v>0</v>
      </c>
      <c r="K32" s="27">
        <f>IFERROR(L32/J32,0)</f>
        <v>0</v>
      </c>
      <c r="L32" s="26">
        <v>0</v>
      </c>
      <c r="M32" s="28">
        <v>0</v>
      </c>
      <c r="N32" s="29">
        <f>IFERROR(O32/M32,0)</f>
        <v>0</v>
      </c>
      <c r="O32" s="28">
        <v>0</v>
      </c>
      <c r="P32" s="30">
        <v>0</v>
      </c>
      <c r="Q32" s="31">
        <f>IFERROR(R32/P32,0)</f>
        <v>0</v>
      </c>
      <c r="R32" s="30">
        <v>0</v>
      </c>
      <c r="S32" s="32">
        <v>3.5</v>
      </c>
      <c r="T32" s="33">
        <f>IFERROR(U32/S32,0)</f>
        <v>16</v>
      </c>
      <c r="U32" s="32">
        <v>56</v>
      </c>
      <c r="V32" s="22">
        <v>0</v>
      </c>
      <c r="W32" s="23">
        <f>IFERROR(X32/V32,0)</f>
        <v>0</v>
      </c>
      <c r="X32" s="22">
        <v>0</v>
      </c>
      <c r="Y32" s="24">
        <v>0</v>
      </c>
      <c r="Z32" s="25">
        <f>IFERROR(AA32/Y32,0)</f>
        <v>0</v>
      </c>
      <c r="AA32" s="24">
        <v>0</v>
      </c>
      <c r="AB32" s="34">
        <f>SUM(D32,G32,J32,M32,P32,S32,V32,Y32)</f>
        <v>2984.2</v>
      </c>
      <c r="AC32" s="34">
        <f>SUM(F32,I32,L32,O32,R32,U32,X32,AA32)</f>
        <v>64662.1</v>
      </c>
    </row>
    <row r="33" spans="1:29" x14ac:dyDescent="0.25">
      <c r="A33" s="21" t="s">
        <v>71</v>
      </c>
      <c r="B33" s="21" t="s">
        <v>72</v>
      </c>
      <c r="C33" s="21" t="s">
        <v>23</v>
      </c>
      <c r="D33" s="22">
        <v>0</v>
      </c>
      <c r="E33" s="23">
        <f>IFERROR(F33/D33,0)</f>
        <v>0</v>
      </c>
      <c r="F33" s="22">
        <v>0</v>
      </c>
      <c r="G33" s="24">
        <v>84.2</v>
      </c>
      <c r="H33" s="25">
        <f>IFERROR(I33/G33,0)</f>
        <v>2.7790973871733966</v>
      </c>
      <c r="I33" s="24">
        <v>234</v>
      </c>
      <c r="J33" s="26">
        <v>0</v>
      </c>
      <c r="K33" s="27">
        <f>IFERROR(L33/J33,0)</f>
        <v>0</v>
      </c>
      <c r="L33" s="26">
        <v>0</v>
      </c>
      <c r="M33" s="28">
        <v>0</v>
      </c>
      <c r="N33" s="29">
        <f>IFERROR(O33/M33,0)</f>
        <v>0</v>
      </c>
      <c r="O33" s="28">
        <v>0</v>
      </c>
      <c r="P33" s="30">
        <v>0</v>
      </c>
      <c r="Q33" s="31">
        <f>IFERROR(R33/P33,0)</f>
        <v>0</v>
      </c>
      <c r="R33" s="30">
        <v>0</v>
      </c>
      <c r="S33" s="32">
        <v>0</v>
      </c>
      <c r="T33" s="33">
        <f>IFERROR(U33/S33,0)</f>
        <v>0</v>
      </c>
      <c r="U33" s="32">
        <v>0</v>
      </c>
      <c r="V33" s="22">
        <v>0</v>
      </c>
      <c r="W33" s="23">
        <f>IFERROR(X33/V33,0)</f>
        <v>0</v>
      </c>
      <c r="X33" s="22">
        <v>0</v>
      </c>
      <c r="Y33" s="24">
        <v>0</v>
      </c>
      <c r="Z33" s="25">
        <f>IFERROR(AA33/Y33,0)</f>
        <v>0</v>
      </c>
      <c r="AA33" s="24">
        <v>0</v>
      </c>
      <c r="AB33" s="34">
        <f>SUM(D33,G33,J33,M33,P33,S33,V33,Y33)</f>
        <v>84.2</v>
      </c>
      <c r="AC33" s="34">
        <f>SUM(F33,I33,L33,O33,R33,U33,X33,AA33)</f>
        <v>234</v>
      </c>
    </row>
    <row r="34" spans="1:29" x14ac:dyDescent="0.25">
      <c r="A34" s="21" t="s">
        <v>73</v>
      </c>
      <c r="B34" s="21" t="s">
        <v>74</v>
      </c>
      <c r="C34" s="21" t="s">
        <v>23</v>
      </c>
      <c r="D34" s="22">
        <v>32.5</v>
      </c>
      <c r="E34" s="23">
        <f>IFERROR(F34/D34,0)</f>
        <v>4.5</v>
      </c>
      <c r="F34" s="22">
        <v>146.25</v>
      </c>
      <c r="G34" s="24">
        <v>0</v>
      </c>
      <c r="H34" s="25">
        <f>IFERROR(I34/G34,0)</f>
        <v>0</v>
      </c>
      <c r="I34" s="24">
        <v>0</v>
      </c>
      <c r="J34" s="26">
        <v>0</v>
      </c>
      <c r="K34" s="27">
        <f>IFERROR(L34/J34,0)</f>
        <v>0</v>
      </c>
      <c r="L34" s="26">
        <v>0</v>
      </c>
      <c r="M34" s="28">
        <v>0</v>
      </c>
      <c r="N34" s="29">
        <f>IFERROR(O34/M34,0)</f>
        <v>0</v>
      </c>
      <c r="O34" s="28">
        <v>0</v>
      </c>
      <c r="P34" s="30">
        <v>0</v>
      </c>
      <c r="Q34" s="31">
        <f>IFERROR(R34/P34,0)</f>
        <v>0</v>
      </c>
      <c r="R34" s="30">
        <v>0</v>
      </c>
      <c r="S34" s="32">
        <v>0</v>
      </c>
      <c r="T34" s="33">
        <f>IFERROR(U34/S34,0)</f>
        <v>0</v>
      </c>
      <c r="U34" s="32">
        <v>0</v>
      </c>
      <c r="V34" s="22">
        <v>0</v>
      </c>
      <c r="W34" s="23">
        <f>IFERROR(X34/V34,0)</f>
        <v>0</v>
      </c>
      <c r="X34" s="22">
        <v>0</v>
      </c>
      <c r="Y34" s="24">
        <v>0</v>
      </c>
      <c r="Z34" s="25">
        <f>IFERROR(AA34/Y34,0)</f>
        <v>0</v>
      </c>
      <c r="AA34" s="24">
        <v>0</v>
      </c>
      <c r="AB34" s="34">
        <f>SUM(D34,G34,J34,M34,P34,S34,V34,Y34)</f>
        <v>32.5</v>
      </c>
      <c r="AC34" s="34">
        <f>SUM(F34,I34,L34,O34,R34,U34,X34,AA34)</f>
        <v>146.25</v>
      </c>
    </row>
    <row r="35" spans="1:29" x14ac:dyDescent="0.25">
      <c r="A35" s="21" t="s">
        <v>75</v>
      </c>
      <c r="B35" s="21" t="s">
        <v>76</v>
      </c>
      <c r="C35" s="21" t="s">
        <v>23</v>
      </c>
      <c r="D35" s="22">
        <v>0</v>
      </c>
      <c r="E35" s="23">
        <f>IFERROR(F35/D35,0)</f>
        <v>0</v>
      </c>
      <c r="F35" s="22">
        <v>0</v>
      </c>
      <c r="G35" s="24">
        <v>4.2</v>
      </c>
      <c r="H35" s="25">
        <f>IFERROR(I35/G35,0)</f>
        <v>50</v>
      </c>
      <c r="I35" s="24">
        <v>210</v>
      </c>
      <c r="J35" s="26">
        <v>0</v>
      </c>
      <c r="K35" s="27">
        <f>IFERROR(L35/J35,0)</f>
        <v>0</v>
      </c>
      <c r="L35" s="26">
        <v>0</v>
      </c>
      <c r="M35" s="28">
        <v>0</v>
      </c>
      <c r="N35" s="29">
        <f>IFERROR(O35/M35,0)</f>
        <v>0</v>
      </c>
      <c r="O35" s="28">
        <v>0</v>
      </c>
      <c r="P35" s="30">
        <v>0</v>
      </c>
      <c r="Q35" s="31">
        <f>IFERROR(R35/P35,0)</f>
        <v>0</v>
      </c>
      <c r="R35" s="30">
        <v>0</v>
      </c>
      <c r="S35" s="32">
        <v>0</v>
      </c>
      <c r="T35" s="33">
        <f>IFERROR(U35/S35,0)</f>
        <v>0</v>
      </c>
      <c r="U35" s="32">
        <v>0</v>
      </c>
      <c r="V35" s="22">
        <v>0</v>
      </c>
      <c r="W35" s="23">
        <f>IFERROR(X35/V35,0)</f>
        <v>0</v>
      </c>
      <c r="X35" s="22">
        <v>0</v>
      </c>
      <c r="Y35" s="24">
        <v>0</v>
      </c>
      <c r="Z35" s="25">
        <f>IFERROR(AA35/Y35,0)</f>
        <v>0</v>
      </c>
      <c r="AA35" s="24">
        <v>0</v>
      </c>
      <c r="AB35" s="34">
        <f>SUM(D35,G35,J35,M35,P35,S35,V35,Y35)</f>
        <v>4.2</v>
      </c>
      <c r="AC35" s="34">
        <f>SUM(F35,I35,L35,O35,R35,U35,X35,AA35)</f>
        <v>210</v>
      </c>
    </row>
    <row r="36" spans="1:29" x14ac:dyDescent="0.25">
      <c r="A36" s="21" t="s">
        <v>77</v>
      </c>
      <c r="B36" s="21" t="s">
        <v>78</v>
      </c>
      <c r="C36" s="21" t="s">
        <v>23</v>
      </c>
      <c r="D36" s="22">
        <v>2569.8</v>
      </c>
      <c r="E36" s="23">
        <f>IFERROR(F36/D36,0)</f>
        <v>138.17721223441512</v>
      </c>
      <c r="F36" s="22">
        <v>355087.8</v>
      </c>
      <c r="G36" s="24">
        <v>1218.4</v>
      </c>
      <c r="H36" s="25">
        <f>IFERROR(I36/G36,0)</f>
        <v>124.21273801707154</v>
      </c>
      <c r="I36" s="24">
        <v>151340.8</v>
      </c>
      <c r="J36" s="26">
        <v>0</v>
      </c>
      <c r="K36" s="27">
        <f>IFERROR(L36/J36,0)</f>
        <v>0</v>
      </c>
      <c r="L36" s="26">
        <v>0</v>
      </c>
      <c r="M36" s="28">
        <v>0</v>
      </c>
      <c r="N36" s="29">
        <f>IFERROR(O36/M36,0)</f>
        <v>0</v>
      </c>
      <c r="O36" s="28">
        <v>0</v>
      </c>
      <c r="P36" s="30">
        <v>0</v>
      </c>
      <c r="Q36" s="31">
        <f>IFERROR(R36/P36,0)</f>
        <v>0</v>
      </c>
      <c r="R36" s="30">
        <v>0</v>
      </c>
      <c r="S36" s="32">
        <v>0</v>
      </c>
      <c r="T36" s="33">
        <f>IFERROR(U36/S36,0)</f>
        <v>0</v>
      </c>
      <c r="U36" s="32">
        <v>0</v>
      </c>
      <c r="V36" s="22">
        <v>0</v>
      </c>
      <c r="W36" s="23">
        <f>IFERROR(X36/V36,0)</f>
        <v>0</v>
      </c>
      <c r="X36" s="22">
        <v>0</v>
      </c>
      <c r="Y36" s="24">
        <v>0</v>
      </c>
      <c r="Z36" s="25">
        <f>IFERROR(AA36/Y36,0)</f>
        <v>0</v>
      </c>
      <c r="AA36" s="24">
        <v>0</v>
      </c>
      <c r="AB36" s="34">
        <f>SUM(D36,G36,J36,M36,P36,S36,V36,Y36)</f>
        <v>3788.2000000000003</v>
      </c>
      <c r="AC36" s="34">
        <f>SUM(F36,I36,L36,O36,R36,U36,X36,AA36)</f>
        <v>506428.6</v>
      </c>
    </row>
    <row r="37" spans="1:29" x14ac:dyDescent="0.25">
      <c r="A37" s="21" t="s">
        <v>79</v>
      </c>
      <c r="B37" s="21" t="s">
        <v>80</v>
      </c>
      <c r="C37" s="21" t="s">
        <v>23</v>
      </c>
      <c r="D37" s="22">
        <v>3752.5</v>
      </c>
      <c r="E37" s="23">
        <f>IFERROR(F37/D37,0)</f>
        <v>72.04490339773484</v>
      </c>
      <c r="F37" s="22">
        <v>270348.5</v>
      </c>
      <c r="G37" s="24">
        <v>36.3</v>
      </c>
      <c r="H37" s="25">
        <f>IFERROR(I37/G37,0)</f>
        <v>60.98347107438016</v>
      </c>
      <c r="I37" s="24">
        <v>2213.7</v>
      </c>
      <c r="J37" s="26">
        <v>0</v>
      </c>
      <c r="K37" s="27">
        <f>IFERROR(L37/J37,0)</f>
        <v>0</v>
      </c>
      <c r="L37" s="26">
        <v>0</v>
      </c>
      <c r="M37" s="28">
        <v>0</v>
      </c>
      <c r="N37" s="29">
        <f>IFERROR(O37/M37,0)</f>
        <v>0</v>
      </c>
      <c r="O37" s="28">
        <v>0</v>
      </c>
      <c r="P37" s="30">
        <v>0</v>
      </c>
      <c r="Q37" s="31">
        <f>IFERROR(R37/P37,0)</f>
        <v>0</v>
      </c>
      <c r="R37" s="30">
        <v>0</v>
      </c>
      <c r="S37" s="32">
        <v>0</v>
      </c>
      <c r="T37" s="33">
        <f>IFERROR(U37/S37,0)</f>
        <v>0</v>
      </c>
      <c r="U37" s="32">
        <v>0</v>
      </c>
      <c r="V37" s="22">
        <v>0</v>
      </c>
      <c r="W37" s="23">
        <f>IFERROR(X37/V37,0)</f>
        <v>0</v>
      </c>
      <c r="X37" s="22">
        <v>0</v>
      </c>
      <c r="Y37" s="24">
        <v>0</v>
      </c>
      <c r="Z37" s="25">
        <f>IFERROR(AA37/Y37,0)</f>
        <v>0</v>
      </c>
      <c r="AA37" s="24">
        <v>0</v>
      </c>
      <c r="AB37" s="34">
        <f>SUM(D37,G37,J37,M37,P37,S37,V37,Y37)</f>
        <v>3788.8</v>
      </c>
      <c r="AC37" s="34">
        <f>SUM(F37,I37,L37,O37,R37,U37,X37,AA37)</f>
        <v>272562.2</v>
      </c>
    </row>
    <row r="38" spans="1:29" x14ac:dyDescent="0.25">
      <c r="A38" s="21" t="s">
        <v>81</v>
      </c>
      <c r="B38" s="21" t="s">
        <v>82</v>
      </c>
      <c r="C38" s="21" t="s">
        <v>23</v>
      </c>
      <c r="D38" s="22">
        <v>87</v>
      </c>
      <c r="E38" s="23">
        <f>IFERROR(F38/D38,0)</f>
        <v>57.804597701149426</v>
      </c>
      <c r="F38" s="22">
        <v>5029</v>
      </c>
      <c r="G38" s="24">
        <v>7</v>
      </c>
      <c r="H38" s="25">
        <f>IFERROR(I38/G38,0)</f>
        <v>55</v>
      </c>
      <c r="I38" s="24">
        <v>385</v>
      </c>
      <c r="J38" s="26">
        <v>0</v>
      </c>
      <c r="K38" s="27">
        <f>IFERROR(L38/J38,0)</f>
        <v>0</v>
      </c>
      <c r="L38" s="26">
        <v>0</v>
      </c>
      <c r="M38" s="28">
        <v>0</v>
      </c>
      <c r="N38" s="29">
        <f>IFERROR(O38/M38,0)</f>
        <v>0</v>
      </c>
      <c r="O38" s="28">
        <v>0</v>
      </c>
      <c r="P38" s="30">
        <v>0</v>
      </c>
      <c r="Q38" s="31">
        <f>IFERROR(R38/P38,0)</f>
        <v>0</v>
      </c>
      <c r="R38" s="30">
        <v>0</v>
      </c>
      <c r="S38" s="32">
        <v>0</v>
      </c>
      <c r="T38" s="33">
        <f>IFERROR(U38/S38,0)</f>
        <v>0</v>
      </c>
      <c r="U38" s="32">
        <v>0</v>
      </c>
      <c r="V38" s="22">
        <v>0</v>
      </c>
      <c r="W38" s="23">
        <f>IFERROR(X38/V38,0)</f>
        <v>0</v>
      </c>
      <c r="X38" s="22">
        <v>0</v>
      </c>
      <c r="Y38" s="24">
        <v>0</v>
      </c>
      <c r="Z38" s="25">
        <f>IFERROR(AA38/Y38,0)</f>
        <v>0</v>
      </c>
      <c r="AA38" s="24">
        <v>0</v>
      </c>
      <c r="AB38" s="34">
        <f>SUM(D38,G38,J38,M38,P38,S38,V38,Y38)</f>
        <v>94</v>
      </c>
      <c r="AC38" s="34">
        <f>SUM(F38,I38,L38,O38,R38,U38,X38,AA38)</f>
        <v>5414</v>
      </c>
    </row>
    <row r="39" spans="1:29" x14ac:dyDescent="0.25">
      <c r="A39" s="21" t="s">
        <v>83</v>
      </c>
      <c r="B39" s="21" t="s">
        <v>84</v>
      </c>
      <c r="C39" s="21" t="s">
        <v>23</v>
      </c>
      <c r="D39" s="22">
        <v>117</v>
      </c>
      <c r="E39" s="23">
        <f>IFERROR(F39/D39,0)</f>
        <v>4.5</v>
      </c>
      <c r="F39" s="22">
        <v>526.5</v>
      </c>
      <c r="G39" s="24">
        <v>0</v>
      </c>
      <c r="H39" s="25">
        <f>IFERROR(I39/G39,0)</f>
        <v>0</v>
      </c>
      <c r="I39" s="24">
        <v>0</v>
      </c>
      <c r="J39" s="26">
        <v>0</v>
      </c>
      <c r="K39" s="27">
        <f>IFERROR(L39/J39,0)</f>
        <v>0</v>
      </c>
      <c r="L39" s="26">
        <v>0</v>
      </c>
      <c r="M39" s="28">
        <v>0</v>
      </c>
      <c r="N39" s="29">
        <f>IFERROR(O39/M39,0)</f>
        <v>0</v>
      </c>
      <c r="O39" s="28">
        <v>0</v>
      </c>
      <c r="P39" s="30">
        <v>0</v>
      </c>
      <c r="Q39" s="31">
        <f>IFERROR(R39/P39,0)</f>
        <v>0</v>
      </c>
      <c r="R39" s="30">
        <v>0</v>
      </c>
      <c r="S39" s="32">
        <v>0</v>
      </c>
      <c r="T39" s="33">
        <f>IFERROR(U39/S39,0)</f>
        <v>0</v>
      </c>
      <c r="U39" s="32">
        <v>0</v>
      </c>
      <c r="V39" s="22">
        <v>0</v>
      </c>
      <c r="W39" s="23">
        <f>IFERROR(X39/V39,0)</f>
        <v>0</v>
      </c>
      <c r="X39" s="22">
        <v>0</v>
      </c>
      <c r="Y39" s="24">
        <v>0</v>
      </c>
      <c r="Z39" s="25">
        <f>IFERROR(AA39/Y39,0)</f>
        <v>0</v>
      </c>
      <c r="AA39" s="24">
        <v>0</v>
      </c>
      <c r="AB39" s="34">
        <f>SUM(D39,G39,J39,M39,P39,S39,V39,Y39)</f>
        <v>117</v>
      </c>
      <c r="AC39" s="34">
        <f>SUM(F39,I39,L39,O39,R39,U39,X39,AA39)</f>
        <v>526.5</v>
      </c>
    </row>
    <row r="40" spans="1:29" x14ac:dyDescent="0.25">
      <c r="A40" s="21" t="s">
        <v>85</v>
      </c>
      <c r="B40" s="21" t="s">
        <v>86</v>
      </c>
      <c r="C40" s="21" t="s">
        <v>23</v>
      </c>
      <c r="D40" s="22">
        <v>0.5</v>
      </c>
      <c r="E40" s="23">
        <f>IFERROR(F40/D40,0)</f>
        <v>4</v>
      </c>
      <c r="F40" s="22">
        <v>2</v>
      </c>
      <c r="G40" s="24">
        <v>28</v>
      </c>
      <c r="H40" s="25">
        <f>IFERROR(I40/G40,0)</f>
        <v>4</v>
      </c>
      <c r="I40" s="24">
        <v>112</v>
      </c>
      <c r="J40" s="26">
        <v>0</v>
      </c>
      <c r="K40" s="27">
        <f>IFERROR(L40/J40,0)</f>
        <v>0</v>
      </c>
      <c r="L40" s="26">
        <v>0</v>
      </c>
      <c r="M40" s="28">
        <v>0</v>
      </c>
      <c r="N40" s="29">
        <f>IFERROR(O40/M40,0)</f>
        <v>0</v>
      </c>
      <c r="O40" s="28">
        <v>0</v>
      </c>
      <c r="P40" s="30">
        <v>0</v>
      </c>
      <c r="Q40" s="31">
        <f>IFERROR(R40/P40,0)</f>
        <v>0</v>
      </c>
      <c r="R40" s="30">
        <v>0</v>
      </c>
      <c r="S40" s="32">
        <v>5</v>
      </c>
      <c r="T40" s="33">
        <f>IFERROR(U40/S40,0)</f>
        <v>5</v>
      </c>
      <c r="U40" s="32">
        <v>25</v>
      </c>
      <c r="V40" s="22">
        <v>0</v>
      </c>
      <c r="W40" s="23">
        <f>IFERROR(X40/V40,0)</f>
        <v>0</v>
      </c>
      <c r="X40" s="22">
        <v>0</v>
      </c>
      <c r="Y40" s="24">
        <v>0</v>
      </c>
      <c r="Z40" s="25">
        <f>IFERROR(AA40/Y40,0)</f>
        <v>0</v>
      </c>
      <c r="AA40" s="24">
        <v>0</v>
      </c>
      <c r="AB40" s="34">
        <f>SUM(D40,G40,J40,M40,P40,S40,V40,Y40)</f>
        <v>33.5</v>
      </c>
      <c r="AC40" s="34">
        <f>SUM(F40,I40,L40,O40,R40,U40,X40,AA40)</f>
        <v>139</v>
      </c>
    </row>
    <row r="41" spans="1:29" x14ac:dyDescent="0.25">
      <c r="A41" s="21" t="s">
        <v>87</v>
      </c>
      <c r="B41" s="21" t="s">
        <v>88</v>
      </c>
      <c r="C41" s="21" t="s">
        <v>23</v>
      </c>
      <c r="D41" s="22">
        <v>35</v>
      </c>
      <c r="E41" s="23">
        <f>IFERROR(F41/D41,0)</f>
        <v>4</v>
      </c>
      <c r="F41" s="22">
        <v>140</v>
      </c>
      <c r="G41" s="24">
        <v>0</v>
      </c>
      <c r="H41" s="25">
        <f>IFERROR(I41/G41,0)</f>
        <v>0</v>
      </c>
      <c r="I41" s="24">
        <v>0</v>
      </c>
      <c r="J41" s="26">
        <v>0</v>
      </c>
      <c r="K41" s="27">
        <f>IFERROR(L41/J41,0)</f>
        <v>0</v>
      </c>
      <c r="L41" s="26">
        <v>0</v>
      </c>
      <c r="M41" s="28">
        <v>0</v>
      </c>
      <c r="N41" s="29">
        <f>IFERROR(O41/M41,0)</f>
        <v>0</v>
      </c>
      <c r="O41" s="28">
        <v>0</v>
      </c>
      <c r="P41" s="30">
        <v>0</v>
      </c>
      <c r="Q41" s="31">
        <f>IFERROR(R41/P41,0)</f>
        <v>0</v>
      </c>
      <c r="R41" s="30">
        <v>0</v>
      </c>
      <c r="S41" s="32">
        <v>0</v>
      </c>
      <c r="T41" s="33">
        <f>IFERROR(U41/S41,0)</f>
        <v>0</v>
      </c>
      <c r="U41" s="32">
        <v>0</v>
      </c>
      <c r="V41" s="22">
        <v>0</v>
      </c>
      <c r="W41" s="23">
        <f>IFERROR(X41/V41,0)</f>
        <v>0</v>
      </c>
      <c r="X41" s="22">
        <v>0</v>
      </c>
      <c r="Y41" s="24">
        <v>0</v>
      </c>
      <c r="Z41" s="25">
        <f>IFERROR(AA41/Y41,0)</f>
        <v>0</v>
      </c>
      <c r="AA41" s="24">
        <v>0</v>
      </c>
      <c r="AB41" s="34">
        <f>SUM(D41,G41,J41,M41,P41,S41,V41,Y41)</f>
        <v>35</v>
      </c>
      <c r="AC41" s="34">
        <f>SUM(F41,I41,L41,O41,R41,U41,X41,AA41)</f>
        <v>140</v>
      </c>
    </row>
    <row r="42" spans="1:29" x14ac:dyDescent="0.25">
      <c r="A42" s="21" t="s">
        <v>89</v>
      </c>
      <c r="B42" s="21" t="s">
        <v>90</v>
      </c>
      <c r="C42" s="21" t="s">
        <v>23</v>
      </c>
      <c r="D42" s="22">
        <v>15.5</v>
      </c>
      <c r="E42" s="23">
        <f>IFERROR(F42/D42,0)</f>
        <v>4</v>
      </c>
      <c r="F42" s="22">
        <v>62</v>
      </c>
      <c r="G42" s="24">
        <v>0</v>
      </c>
      <c r="H42" s="25">
        <f>IFERROR(I42/G42,0)</f>
        <v>0</v>
      </c>
      <c r="I42" s="24">
        <v>0</v>
      </c>
      <c r="J42" s="26">
        <v>0</v>
      </c>
      <c r="K42" s="27">
        <f>IFERROR(L42/J42,0)</f>
        <v>0</v>
      </c>
      <c r="L42" s="26">
        <v>0</v>
      </c>
      <c r="M42" s="28">
        <v>0</v>
      </c>
      <c r="N42" s="29">
        <f>IFERROR(O42/M42,0)</f>
        <v>0</v>
      </c>
      <c r="O42" s="28">
        <v>0</v>
      </c>
      <c r="P42" s="30">
        <v>0</v>
      </c>
      <c r="Q42" s="31">
        <f>IFERROR(R42/P42,0)</f>
        <v>0</v>
      </c>
      <c r="R42" s="30">
        <v>0</v>
      </c>
      <c r="S42" s="32">
        <v>0</v>
      </c>
      <c r="T42" s="33">
        <f>IFERROR(U42/S42,0)</f>
        <v>0</v>
      </c>
      <c r="U42" s="32">
        <v>0</v>
      </c>
      <c r="V42" s="22">
        <v>0</v>
      </c>
      <c r="W42" s="23">
        <f>IFERROR(X42/V42,0)</f>
        <v>0</v>
      </c>
      <c r="X42" s="22">
        <v>0</v>
      </c>
      <c r="Y42" s="24">
        <v>0</v>
      </c>
      <c r="Z42" s="25">
        <f>IFERROR(AA42/Y42,0)</f>
        <v>0</v>
      </c>
      <c r="AA42" s="24">
        <v>0</v>
      </c>
      <c r="AB42" s="34">
        <f>SUM(D42,G42,J42,M42,P42,S42,V42,Y42)</f>
        <v>15.5</v>
      </c>
      <c r="AC42" s="34">
        <f>SUM(F42,I42,L42,O42,R42,U42,X42,AA42)</f>
        <v>62</v>
      </c>
    </row>
    <row r="43" spans="1:29" x14ac:dyDescent="0.25">
      <c r="A43" s="21" t="s">
        <v>91</v>
      </c>
      <c r="B43" s="21" t="s">
        <v>92</v>
      </c>
      <c r="C43" s="21" t="s">
        <v>23</v>
      </c>
      <c r="D43" s="22">
        <v>53</v>
      </c>
      <c r="E43" s="23">
        <f>IFERROR(F43/D43,0)</f>
        <v>4</v>
      </c>
      <c r="F43" s="22">
        <v>212</v>
      </c>
      <c r="G43" s="24">
        <v>0</v>
      </c>
      <c r="H43" s="25">
        <f>IFERROR(I43/G43,0)</f>
        <v>0</v>
      </c>
      <c r="I43" s="24">
        <v>0</v>
      </c>
      <c r="J43" s="26">
        <v>0</v>
      </c>
      <c r="K43" s="27">
        <f>IFERROR(L43/J43,0)</f>
        <v>0</v>
      </c>
      <c r="L43" s="26">
        <v>0</v>
      </c>
      <c r="M43" s="28">
        <v>0</v>
      </c>
      <c r="N43" s="29">
        <f>IFERROR(O43/M43,0)</f>
        <v>0</v>
      </c>
      <c r="O43" s="28">
        <v>0</v>
      </c>
      <c r="P43" s="30">
        <v>0</v>
      </c>
      <c r="Q43" s="31">
        <f>IFERROR(R43/P43,0)</f>
        <v>0</v>
      </c>
      <c r="R43" s="30">
        <v>0</v>
      </c>
      <c r="S43" s="32">
        <v>0</v>
      </c>
      <c r="T43" s="33">
        <f>IFERROR(U43/S43,0)</f>
        <v>0</v>
      </c>
      <c r="U43" s="32">
        <v>0</v>
      </c>
      <c r="V43" s="22">
        <v>0</v>
      </c>
      <c r="W43" s="23">
        <f>IFERROR(X43/V43,0)</f>
        <v>0</v>
      </c>
      <c r="X43" s="22">
        <v>0</v>
      </c>
      <c r="Y43" s="24">
        <v>0</v>
      </c>
      <c r="Z43" s="25">
        <f>IFERROR(AA43/Y43,0)</f>
        <v>0</v>
      </c>
      <c r="AA43" s="24">
        <v>0</v>
      </c>
      <c r="AB43" s="34">
        <f>SUM(D43,G43,J43,M43,P43,S43,V43,Y43)</f>
        <v>53</v>
      </c>
      <c r="AC43" s="34">
        <f>SUM(F43,I43,L43,O43,R43,U43,X43,AA43)</f>
        <v>212</v>
      </c>
    </row>
    <row r="44" spans="1:29" x14ac:dyDescent="0.25">
      <c r="A44" s="21" t="s">
        <v>93</v>
      </c>
      <c r="B44" s="21" t="s">
        <v>94</v>
      </c>
      <c r="C44" s="21" t="s">
        <v>23</v>
      </c>
      <c r="D44" s="22">
        <v>9120</v>
      </c>
      <c r="E44" s="23">
        <f>IFERROR(F44/D44,0)</f>
        <v>21.319371217105264</v>
      </c>
      <c r="F44" s="22">
        <v>194432.6655</v>
      </c>
      <c r="G44" s="24">
        <v>3.6</v>
      </c>
      <c r="H44" s="25">
        <f>IFERROR(I44/G44,0)</f>
        <v>8</v>
      </c>
      <c r="I44" s="24">
        <v>28.8</v>
      </c>
      <c r="J44" s="26">
        <v>0</v>
      </c>
      <c r="K44" s="27">
        <f>IFERROR(L44/J44,0)</f>
        <v>0</v>
      </c>
      <c r="L44" s="26">
        <v>0</v>
      </c>
      <c r="M44" s="28">
        <v>0</v>
      </c>
      <c r="N44" s="29">
        <f>IFERROR(O44/M44,0)</f>
        <v>0</v>
      </c>
      <c r="O44" s="28">
        <v>0</v>
      </c>
      <c r="P44" s="30">
        <v>0</v>
      </c>
      <c r="Q44" s="31">
        <f>IFERROR(R44/P44,0)</f>
        <v>0</v>
      </c>
      <c r="R44" s="30">
        <v>0</v>
      </c>
      <c r="S44" s="32">
        <v>0</v>
      </c>
      <c r="T44" s="33">
        <f>IFERROR(U44/S44,0)</f>
        <v>0</v>
      </c>
      <c r="U44" s="32">
        <v>0</v>
      </c>
      <c r="V44" s="22">
        <v>0</v>
      </c>
      <c r="W44" s="23">
        <f>IFERROR(X44/V44,0)</f>
        <v>0</v>
      </c>
      <c r="X44" s="22">
        <v>0</v>
      </c>
      <c r="Y44" s="24">
        <v>0</v>
      </c>
      <c r="Z44" s="25">
        <f>IFERROR(AA44/Y44,0)</f>
        <v>0</v>
      </c>
      <c r="AA44" s="24">
        <v>0</v>
      </c>
      <c r="AB44" s="34">
        <f>SUM(D44,G44,J44,M44,P44,S44,V44,Y44)</f>
        <v>9123.6</v>
      </c>
      <c r="AC44" s="34">
        <f>SUM(F44,I44,L44,O44,R44,U44,X44,AA44)</f>
        <v>194461.4655</v>
      </c>
    </row>
    <row r="45" spans="1:29" x14ac:dyDescent="0.25">
      <c r="A45" s="20" t="s">
        <v>95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x14ac:dyDescent="0.25">
      <c r="A46" s="21" t="s">
        <v>96</v>
      </c>
      <c r="B46" s="21" t="s">
        <v>97</v>
      </c>
      <c r="C46" s="21" t="s">
        <v>23</v>
      </c>
      <c r="D46" s="22">
        <v>0</v>
      </c>
      <c r="E46" s="23">
        <f>IFERROR(F46/D46,0)</f>
        <v>0</v>
      </c>
      <c r="F46" s="22">
        <v>0</v>
      </c>
      <c r="G46" s="24">
        <v>0</v>
      </c>
      <c r="H46" s="25">
        <f>IFERROR(I46/G46,0)</f>
        <v>0</v>
      </c>
      <c r="I46" s="24">
        <v>0</v>
      </c>
      <c r="J46" s="26">
        <v>0</v>
      </c>
      <c r="K46" s="27">
        <f>IFERROR(L46/J46,0)</f>
        <v>0</v>
      </c>
      <c r="L46" s="26">
        <v>0</v>
      </c>
      <c r="M46" s="28">
        <v>0</v>
      </c>
      <c r="N46" s="29">
        <f>IFERROR(O46/M46,0)</f>
        <v>0</v>
      </c>
      <c r="O46" s="28">
        <v>0</v>
      </c>
      <c r="P46" s="30">
        <v>0</v>
      </c>
      <c r="Q46" s="31">
        <f>IFERROR(R46/P46,0)</f>
        <v>0</v>
      </c>
      <c r="R46" s="30">
        <v>0</v>
      </c>
      <c r="S46" s="32">
        <v>30</v>
      </c>
      <c r="T46" s="33">
        <f>IFERROR(U46/S46,0)</f>
        <v>0</v>
      </c>
      <c r="U46" s="32">
        <v>0</v>
      </c>
      <c r="V46" s="22">
        <v>0</v>
      </c>
      <c r="W46" s="23">
        <f>IFERROR(X46/V46,0)</f>
        <v>0</v>
      </c>
      <c r="X46" s="22">
        <v>0</v>
      </c>
      <c r="Y46" s="24">
        <v>0</v>
      </c>
      <c r="Z46" s="25">
        <f>IFERROR(AA46/Y46,0)</f>
        <v>0</v>
      </c>
      <c r="AA46" s="24">
        <v>0</v>
      </c>
      <c r="AB46" s="34">
        <f>SUM(D46,G46,J46,M46,P46,S46,V46,Y46)</f>
        <v>30</v>
      </c>
      <c r="AC46" s="34">
        <f>SUM(F46,I46,L46,O46,R46,U46,X46,AA46)</f>
        <v>0</v>
      </c>
    </row>
    <row r="47" spans="1:29" x14ac:dyDescent="0.25">
      <c r="A47" s="21" t="s">
        <v>98</v>
      </c>
      <c r="B47" s="21" t="s">
        <v>99</v>
      </c>
      <c r="C47" s="21" t="s">
        <v>100</v>
      </c>
      <c r="D47" s="22">
        <v>121</v>
      </c>
      <c r="E47" s="23">
        <f>IFERROR(F47/D47,0)</f>
        <v>0.5</v>
      </c>
      <c r="F47" s="22">
        <v>60.5</v>
      </c>
      <c r="G47" s="24">
        <v>0</v>
      </c>
      <c r="H47" s="25">
        <f>IFERROR(I47/G47,0)</f>
        <v>0</v>
      </c>
      <c r="I47" s="24">
        <v>0</v>
      </c>
      <c r="J47" s="26">
        <v>0</v>
      </c>
      <c r="K47" s="27">
        <f>IFERROR(L47/J47,0)</f>
        <v>0</v>
      </c>
      <c r="L47" s="26">
        <v>0</v>
      </c>
      <c r="M47" s="28">
        <v>0</v>
      </c>
      <c r="N47" s="29">
        <f>IFERROR(O47/M47,0)</f>
        <v>0</v>
      </c>
      <c r="O47" s="28">
        <v>0</v>
      </c>
      <c r="P47" s="30">
        <v>0</v>
      </c>
      <c r="Q47" s="31">
        <f>IFERROR(R47/P47,0)</f>
        <v>0</v>
      </c>
      <c r="R47" s="30">
        <v>0</v>
      </c>
      <c r="S47" s="32">
        <v>0</v>
      </c>
      <c r="T47" s="33">
        <f>IFERROR(U47/S47,0)</f>
        <v>0</v>
      </c>
      <c r="U47" s="32">
        <v>0</v>
      </c>
      <c r="V47" s="22">
        <v>0</v>
      </c>
      <c r="W47" s="23">
        <f>IFERROR(X47/V47,0)</f>
        <v>0</v>
      </c>
      <c r="X47" s="22">
        <v>0</v>
      </c>
      <c r="Y47" s="24">
        <v>0</v>
      </c>
      <c r="Z47" s="25">
        <f>IFERROR(AA47/Y47,0)</f>
        <v>0</v>
      </c>
      <c r="AA47" s="24">
        <v>0</v>
      </c>
      <c r="AB47" s="34">
        <f>SUM(D47,G47,J47,M47,P47,S47,V47,Y47)</f>
        <v>121</v>
      </c>
      <c r="AC47" s="34">
        <f>SUM(F47,I47,L47,O47,R47,U47,X47,AA47)</f>
        <v>60.5</v>
      </c>
    </row>
    <row r="48" spans="1:29" x14ac:dyDescent="0.25">
      <c r="A48" s="20" t="s">
        <v>101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x14ac:dyDescent="0.25">
      <c r="A49" s="21" t="s">
        <v>102</v>
      </c>
      <c r="B49" s="21" t="s">
        <v>103</v>
      </c>
      <c r="C49" s="21" t="s">
        <v>23</v>
      </c>
      <c r="D49" s="22">
        <v>0</v>
      </c>
      <c r="E49" s="23">
        <f>IFERROR(F49/D49,0)</f>
        <v>0</v>
      </c>
      <c r="F49" s="22">
        <v>0</v>
      </c>
      <c r="G49" s="24">
        <v>188.9</v>
      </c>
      <c r="H49" s="25">
        <f>IFERROR(I49/G49,0)</f>
        <v>1</v>
      </c>
      <c r="I49" s="24">
        <v>188.9</v>
      </c>
      <c r="J49" s="26">
        <v>0</v>
      </c>
      <c r="K49" s="27">
        <f>IFERROR(L49/J49,0)</f>
        <v>0</v>
      </c>
      <c r="L49" s="26">
        <v>0</v>
      </c>
      <c r="M49" s="28">
        <v>0</v>
      </c>
      <c r="N49" s="29">
        <f>IFERROR(O49/M49,0)</f>
        <v>0</v>
      </c>
      <c r="O49" s="28">
        <v>0</v>
      </c>
      <c r="P49" s="30">
        <v>0</v>
      </c>
      <c r="Q49" s="31">
        <f>IFERROR(R49/P49,0)</f>
        <v>0</v>
      </c>
      <c r="R49" s="30">
        <v>0</v>
      </c>
      <c r="S49" s="32">
        <v>0</v>
      </c>
      <c r="T49" s="33">
        <f>IFERROR(U49/S49,0)</f>
        <v>0</v>
      </c>
      <c r="U49" s="32">
        <v>0</v>
      </c>
      <c r="V49" s="22">
        <v>0</v>
      </c>
      <c r="W49" s="23">
        <f>IFERROR(X49/V49,0)</f>
        <v>0</v>
      </c>
      <c r="X49" s="22">
        <v>0</v>
      </c>
      <c r="Y49" s="24">
        <v>0</v>
      </c>
      <c r="Z49" s="25">
        <f>IFERROR(AA49/Y49,0)</f>
        <v>0</v>
      </c>
      <c r="AA49" s="24">
        <v>0</v>
      </c>
      <c r="AB49" s="34">
        <f>SUM(D49,G49,J49,M49,P49,S49,V49,Y49)</f>
        <v>188.9</v>
      </c>
      <c r="AC49" s="34">
        <f>SUM(F49,I49,L49,O49,R49,U49,X49,AA49)</f>
        <v>188.9</v>
      </c>
    </row>
    <row r="50" spans="1:29" x14ac:dyDescent="0.25">
      <c r="A50" s="20" t="s">
        <v>104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x14ac:dyDescent="0.25">
      <c r="A51" s="21" t="s">
        <v>105</v>
      </c>
      <c r="B51" s="21" t="s">
        <v>106</v>
      </c>
      <c r="C51" s="21" t="s">
        <v>23</v>
      </c>
      <c r="D51" s="22">
        <v>950</v>
      </c>
      <c r="E51" s="23">
        <f>IFERROR(F51/D51,0)</f>
        <v>2.5</v>
      </c>
      <c r="F51" s="22">
        <v>2375</v>
      </c>
      <c r="G51" s="24">
        <v>0</v>
      </c>
      <c r="H51" s="25">
        <f>IFERROR(I51/G51,0)</f>
        <v>0</v>
      </c>
      <c r="I51" s="24">
        <v>0</v>
      </c>
      <c r="J51" s="26">
        <v>0</v>
      </c>
      <c r="K51" s="27">
        <f>IFERROR(L51/J51,0)</f>
        <v>0</v>
      </c>
      <c r="L51" s="26">
        <v>0</v>
      </c>
      <c r="M51" s="28">
        <v>0</v>
      </c>
      <c r="N51" s="29">
        <f>IFERROR(O51/M51,0)</f>
        <v>0</v>
      </c>
      <c r="O51" s="28">
        <v>0</v>
      </c>
      <c r="P51" s="30">
        <v>0</v>
      </c>
      <c r="Q51" s="31">
        <f>IFERROR(R51/P51,0)</f>
        <v>0</v>
      </c>
      <c r="R51" s="30">
        <v>0</v>
      </c>
      <c r="S51" s="32">
        <v>0</v>
      </c>
      <c r="T51" s="33">
        <f>IFERROR(U51/S51,0)</f>
        <v>0</v>
      </c>
      <c r="U51" s="32">
        <v>0</v>
      </c>
      <c r="V51" s="22">
        <v>0</v>
      </c>
      <c r="W51" s="23">
        <f>IFERROR(X51/V51,0)</f>
        <v>0</v>
      </c>
      <c r="X51" s="22">
        <v>0</v>
      </c>
      <c r="Y51" s="24">
        <v>0</v>
      </c>
      <c r="Z51" s="25">
        <f>IFERROR(AA51/Y51,0)</f>
        <v>0</v>
      </c>
      <c r="AA51" s="24">
        <v>0</v>
      </c>
      <c r="AB51" s="34">
        <f>SUM(D51,G51,J51,M51,P51,S51,V51,Y51)</f>
        <v>950</v>
      </c>
      <c r="AC51" s="34">
        <f>SUM(F51,I51,L51,O51,R51,U51,X51,AA51)</f>
        <v>2375</v>
      </c>
    </row>
    <row r="52" spans="1:29" x14ac:dyDescent="0.25">
      <c r="A52" s="21" t="s">
        <v>107</v>
      </c>
      <c r="B52" s="21" t="s">
        <v>108</v>
      </c>
      <c r="C52" s="21" t="s">
        <v>23</v>
      </c>
      <c r="D52" s="22">
        <v>312</v>
      </c>
      <c r="E52" s="23">
        <f>IFERROR(F52/D52,0)</f>
        <v>1.7756410256410255</v>
      </c>
      <c r="F52" s="22">
        <v>554</v>
      </c>
      <c r="G52" s="24">
        <v>107.6</v>
      </c>
      <c r="H52" s="25">
        <f>IFERROR(I52/G52,0)</f>
        <v>1.1561338289962826</v>
      </c>
      <c r="I52" s="24">
        <v>124.4</v>
      </c>
      <c r="J52" s="26">
        <v>0</v>
      </c>
      <c r="K52" s="27">
        <f>IFERROR(L52/J52,0)</f>
        <v>0</v>
      </c>
      <c r="L52" s="26">
        <v>0</v>
      </c>
      <c r="M52" s="28">
        <v>0</v>
      </c>
      <c r="N52" s="29">
        <f>IFERROR(O52/M52,0)</f>
        <v>0</v>
      </c>
      <c r="O52" s="28">
        <v>0</v>
      </c>
      <c r="P52" s="30">
        <v>0</v>
      </c>
      <c r="Q52" s="31">
        <f>IFERROR(R52/P52,0)</f>
        <v>0</v>
      </c>
      <c r="R52" s="30">
        <v>0</v>
      </c>
      <c r="S52" s="32">
        <v>0</v>
      </c>
      <c r="T52" s="33">
        <f>IFERROR(U52/S52,0)</f>
        <v>0</v>
      </c>
      <c r="U52" s="32">
        <v>0</v>
      </c>
      <c r="V52" s="22">
        <v>0</v>
      </c>
      <c r="W52" s="23">
        <f>IFERROR(X52/V52,0)</f>
        <v>0</v>
      </c>
      <c r="X52" s="22">
        <v>0</v>
      </c>
      <c r="Y52" s="24">
        <v>0</v>
      </c>
      <c r="Z52" s="25">
        <f>IFERROR(AA52/Y52,0)</f>
        <v>0</v>
      </c>
      <c r="AA52" s="24">
        <v>0</v>
      </c>
      <c r="AB52" s="34">
        <f>SUM(D52,G52,J52,M52,P52,S52,V52,Y52)</f>
        <v>419.6</v>
      </c>
      <c r="AC52" s="34">
        <f>SUM(F52,I52,L52,O52,R52,U52,X52,AA52)</f>
        <v>678.4</v>
      </c>
    </row>
    <row r="53" spans="1:29" x14ac:dyDescent="0.25">
      <c r="A53" s="21" t="s">
        <v>109</v>
      </c>
      <c r="B53" s="21" t="s">
        <v>110</v>
      </c>
      <c r="C53" s="21" t="s">
        <v>111</v>
      </c>
      <c r="D53" s="22">
        <v>45.5</v>
      </c>
      <c r="E53" s="23">
        <f>IFERROR(F53/D53,0)</f>
        <v>2</v>
      </c>
      <c r="F53" s="22">
        <v>91</v>
      </c>
      <c r="G53" s="24">
        <v>17</v>
      </c>
      <c r="H53" s="25">
        <f>IFERROR(I53/G53,0)</f>
        <v>1.8870588235294117</v>
      </c>
      <c r="I53" s="24">
        <v>32.08</v>
      </c>
      <c r="J53" s="26">
        <v>0</v>
      </c>
      <c r="K53" s="27">
        <f>IFERROR(L53/J53,0)</f>
        <v>0</v>
      </c>
      <c r="L53" s="26">
        <v>0</v>
      </c>
      <c r="M53" s="28">
        <v>0</v>
      </c>
      <c r="N53" s="29">
        <f>IFERROR(O53/M53,0)</f>
        <v>0</v>
      </c>
      <c r="O53" s="28">
        <v>0</v>
      </c>
      <c r="P53" s="30">
        <v>0</v>
      </c>
      <c r="Q53" s="31">
        <f>IFERROR(R53/P53,0)</f>
        <v>0</v>
      </c>
      <c r="R53" s="30">
        <v>0</v>
      </c>
      <c r="S53" s="32">
        <v>0</v>
      </c>
      <c r="T53" s="33">
        <f>IFERROR(U53/S53,0)</f>
        <v>0</v>
      </c>
      <c r="U53" s="32">
        <v>0</v>
      </c>
      <c r="V53" s="22">
        <v>0</v>
      </c>
      <c r="W53" s="23">
        <f>IFERROR(X53/V53,0)</f>
        <v>0</v>
      </c>
      <c r="X53" s="22">
        <v>0</v>
      </c>
      <c r="Y53" s="24">
        <v>0</v>
      </c>
      <c r="Z53" s="25">
        <f>IFERROR(AA53/Y53,0)</f>
        <v>0</v>
      </c>
      <c r="AA53" s="24">
        <v>0</v>
      </c>
      <c r="AB53" s="34">
        <f>SUM(D53,G53,J53,M53,P53,S53,V53,Y53)</f>
        <v>62.5</v>
      </c>
      <c r="AC53" s="34">
        <f>SUM(F53,I53,L53,O53,R53,U53,X53,AA53)</f>
        <v>123.08</v>
      </c>
    </row>
    <row r="54" spans="1:29" x14ac:dyDescent="0.25">
      <c r="A54" s="21" t="s">
        <v>112</v>
      </c>
      <c r="B54" s="21" t="s">
        <v>113</v>
      </c>
      <c r="C54" s="21" t="s">
        <v>23</v>
      </c>
      <c r="D54" s="22">
        <v>330</v>
      </c>
      <c r="E54" s="23">
        <f>IFERROR(F54/D54,0)</f>
        <v>1.7969696969696969</v>
      </c>
      <c r="F54" s="22">
        <v>593</v>
      </c>
      <c r="G54" s="24">
        <v>92.66</v>
      </c>
      <c r="H54" s="25">
        <f>IFERROR(I54/G54,0)</f>
        <v>1.6963954241312325</v>
      </c>
      <c r="I54" s="24">
        <v>157.188</v>
      </c>
      <c r="J54" s="26">
        <v>0</v>
      </c>
      <c r="K54" s="27">
        <f>IFERROR(L54/J54,0)</f>
        <v>0</v>
      </c>
      <c r="L54" s="26">
        <v>0</v>
      </c>
      <c r="M54" s="28">
        <v>0</v>
      </c>
      <c r="N54" s="29">
        <f>IFERROR(O54/M54,0)</f>
        <v>0</v>
      </c>
      <c r="O54" s="28">
        <v>0</v>
      </c>
      <c r="P54" s="30">
        <v>0</v>
      </c>
      <c r="Q54" s="31">
        <f>IFERROR(R54/P54,0)</f>
        <v>0</v>
      </c>
      <c r="R54" s="30">
        <v>0</v>
      </c>
      <c r="S54" s="32">
        <v>0</v>
      </c>
      <c r="T54" s="33">
        <f>IFERROR(U54/S54,0)</f>
        <v>0</v>
      </c>
      <c r="U54" s="32">
        <v>0</v>
      </c>
      <c r="V54" s="22">
        <v>0</v>
      </c>
      <c r="W54" s="23">
        <f>IFERROR(X54/V54,0)</f>
        <v>0</v>
      </c>
      <c r="X54" s="22">
        <v>0</v>
      </c>
      <c r="Y54" s="24">
        <v>0</v>
      </c>
      <c r="Z54" s="25">
        <f>IFERROR(AA54/Y54,0)</f>
        <v>0</v>
      </c>
      <c r="AA54" s="24">
        <v>0</v>
      </c>
      <c r="AB54" s="34">
        <f>SUM(D54,G54,J54,M54,P54,S54,V54,Y54)</f>
        <v>422.65999999999997</v>
      </c>
      <c r="AC54" s="34">
        <f>SUM(F54,I54,L54,O54,R54,U54,X54,AA54)</f>
        <v>750.188</v>
      </c>
    </row>
    <row r="55" spans="1:29" x14ac:dyDescent="0.25">
      <c r="A55" s="21" t="s">
        <v>114</v>
      </c>
      <c r="B55" s="21" t="s">
        <v>115</v>
      </c>
      <c r="C55" s="21" t="s">
        <v>23</v>
      </c>
      <c r="D55" s="22">
        <v>93.5</v>
      </c>
      <c r="E55" s="23">
        <f>IFERROR(F55/D55,0)</f>
        <v>0.5</v>
      </c>
      <c r="F55" s="22">
        <v>46.75</v>
      </c>
      <c r="G55" s="24">
        <v>0</v>
      </c>
      <c r="H55" s="25">
        <f>IFERROR(I55/G55,0)</f>
        <v>0</v>
      </c>
      <c r="I55" s="24">
        <v>0</v>
      </c>
      <c r="J55" s="26">
        <v>0</v>
      </c>
      <c r="K55" s="27">
        <f>IFERROR(L55/J55,0)</f>
        <v>0</v>
      </c>
      <c r="L55" s="26">
        <v>0</v>
      </c>
      <c r="M55" s="28">
        <v>0</v>
      </c>
      <c r="N55" s="29">
        <f>IFERROR(O55/M55,0)</f>
        <v>0</v>
      </c>
      <c r="O55" s="28">
        <v>0</v>
      </c>
      <c r="P55" s="30">
        <v>0</v>
      </c>
      <c r="Q55" s="31">
        <f>IFERROR(R55/P55,0)</f>
        <v>0</v>
      </c>
      <c r="R55" s="30">
        <v>0</v>
      </c>
      <c r="S55" s="32">
        <v>0</v>
      </c>
      <c r="T55" s="33">
        <f>IFERROR(U55/S55,0)</f>
        <v>0</v>
      </c>
      <c r="U55" s="32">
        <v>0</v>
      </c>
      <c r="V55" s="22">
        <v>0</v>
      </c>
      <c r="W55" s="23">
        <f>IFERROR(X55/V55,0)</f>
        <v>0</v>
      </c>
      <c r="X55" s="22">
        <v>0</v>
      </c>
      <c r="Y55" s="24">
        <v>0</v>
      </c>
      <c r="Z55" s="25">
        <f>IFERROR(AA55/Y55,0)</f>
        <v>0</v>
      </c>
      <c r="AA55" s="24">
        <v>0</v>
      </c>
      <c r="AB55" s="34">
        <f>SUM(D55,G55,J55,M55,P55,S55,V55,Y55)</f>
        <v>93.5</v>
      </c>
      <c r="AC55" s="34">
        <f>SUM(F55,I55,L55,O55,R55,U55,X55,AA55)</f>
        <v>46.75</v>
      </c>
    </row>
    <row r="56" spans="1:29" x14ac:dyDescent="0.25">
      <c r="A56" s="20" t="s">
        <v>116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x14ac:dyDescent="0.25">
      <c r="A57" s="21" t="s">
        <v>117</v>
      </c>
      <c r="B57" s="21" t="s">
        <v>118</v>
      </c>
      <c r="C57" s="21" t="s">
        <v>23</v>
      </c>
      <c r="D57" s="22">
        <v>0.3</v>
      </c>
      <c r="E57" s="23">
        <f>IFERROR(F57/D57,0)</f>
        <v>8</v>
      </c>
      <c r="F57" s="22">
        <v>2.4</v>
      </c>
      <c r="G57" s="24">
        <v>0</v>
      </c>
      <c r="H57" s="25">
        <f>IFERROR(I57/G57,0)</f>
        <v>0</v>
      </c>
      <c r="I57" s="24">
        <v>0</v>
      </c>
      <c r="J57" s="26">
        <v>0</v>
      </c>
      <c r="K57" s="27">
        <f>IFERROR(L57/J57,0)</f>
        <v>0</v>
      </c>
      <c r="L57" s="26">
        <v>0</v>
      </c>
      <c r="M57" s="28">
        <v>0</v>
      </c>
      <c r="N57" s="29">
        <f>IFERROR(O57/M57,0)</f>
        <v>0</v>
      </c>
      <c r="O57" s="28">
        <v>0</v>
      </c>
      <c r="P57" s="30">
        <v>0</v>
      </c>
      <c r="Q57" s="31">
        <f>IFERROR(R57/P57,0)</f>
        <v>0</v>
      </c>
      <c r="R57" s="30">
        <v>0</v>
      </c>
      <c r="S57" s="32">
        <v>0</v>
      </c>
      <c r="T57" s="33">
        <f>IFERROR(U57/S57,0)</f>
        <v>0</v>
      </c>
      <c r="U57" s="32">
        <v>0</v>
      </c>
      <c r="V57" s="22">
        <v>0</v>
      </c>
      <c r="W57" s="23">
        <f>IFERROR(X57/V57,0)</f>
        <v>0</v>
      </c>
      <c r="X57" s="22">
        <v>0</v>
      </c>
      <c r="Y57" s="24">
        <v>0</v>
      </c>
      <c r="Z57" s="25">
        <f>IFERROR(AA57/Y57,0)</f>
        <v>0</v>
      </c>
      <c r="AA57" s="24">
        <v>0</v>
      </c>
      <c r="AB57" s="34">
        <f>SUM(D57,G57,J57,M57,P57,S57,V57,Y57)</f>
        <v>0.3</v>
      </c>
      <c r="AC57" s="34">
        <f>SUM(F57,I57,L57,O57,R57,U57,X57,AA57)</f>
        <v>2.4</v>
      </c>
    </row>
    <row r="58" spans="1:29" x14ac:dyDescent="0.25">
      <c r="A58" s="21" t="s">
        <v>119</v>
      </c>
      <c r="B58" s="21" t="s">
        <v>120</v>
      </c>
      <c r="C58" s="21" t="s">
        <v>23</v>
      </c>
      <c r="D58" s="22">
        <v>62430</v>
      </c>
      <c r="E58" s="23">
        <f>IFERROR(F58/D58,0)</f>
        <v>5</v>
      </c>
      <c r="F58" s="22">
        <v>312150</v>
      </c>
      <c r="G58" s="24">
        <v>0</v>
      </c>
      <c r="H58" s="25">
        <f>IFERROR(I58/G58,0)</f>
        <v>0</v>
      </c>
      <c r="I58" s="24">
        <v>0</v>
      </c>
      <c r="J58" s="26">
        <v>0</v>
      </c>
      <c r="K58" s="27">
        <f>IFERROR(L58/J58,0)</f>
        <v>0</v>
      </c>
      <c r="L58" s="26">
        <v>0</v>
      </c>
      <c r="M58" s="28">
        <v>0</v>
      </c>
      <c r="N58" s="29">
        <f>IFERROR(O58/M58,0)</f>
        <v>0</v>
      </c>
      <c r="O58" s="28">
        <v>0</v>
      </c>
      <c r="P58" s="30">
        <v>0</v>
      </c>
      <c r="Q58" s="31">
        <f>IFERROR(R58/P58,0)</f>
        <v>0</v>
      </c>
      <c r="R58" s="30">
        <v>0</v>
      </c>
      <c r="S58" s="32">
        <v>0</v>
      </c>
      <c r="T58" s="33">
        <f>IFERROR(U58/S58,0)</f>
        <v>0</v>
      </c>
      <c r="U58" s="32">
        <v>0</v>
      </c>
      <c r="V58" s="22">
        <v>0</v>
      </c>
      <c r="W58" s="23">
        <f>IFERROR(X58/V58,0)</f>
        <v>0</v>
      </c>
      <c r="X58" s="22">
        <v>0</v>
      </c>
      <c r="Y58" s="24">
        <v>0</v>
      </c>
      <c r="Z58" s="25">
        <f>IFERROR(AA58/Y58,0)</f>
        <v>0</v>
      </c>
      <c r="AA58" s="24">
        <v>0</v>
      </c>
      <c r="AB58" s="34">
        <f>SUM(D58,G58,J58,M58,P58,S58,V58,Y58)</f>
        <v>62430</v>
      </c>
      <c r="AC58" s="34">
        <f>SUM(F58,I58,L58,O58,R58,U58,X58,AA58)</f>
        <v>312150</v>
      </c>
    </row>
    <row r="59" spans="1:29" x14ac:dyDescent="0.25">
      <c r="A59" s="20" t="s">
        <v>121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x14ac:dyDescent="0.25">
      <c r="A60" s="21" t="s">
        <v>122</v>
      </c>
      <c r="B60" s="21" t="s">
        <v>123</v>
      </c>
      <c r="C60" s="21" t="s">
        <v>23</v>
      </c>
      <c r="D60" s="22">
        <v>145</v>
      </c>
      <c r="E60" s="23">
        <f>IFERROR(F60/D60,0)</f>
        <v>1.5</v>
      </c>
      <c r="F60" s="22">
        <v>217.5</v>
      </c>
      <c r="G60" s="24">
        <v>24</v>
      </c>
      <c r="H60" s="25">
        <f>IFERROR(I60/G60,0)</f>
        <v>1.5</v>
      </c>
      <c r="I60" s="24">
        <v>36</v>
      </c>
      <c r="J60" s="26">
        <v>0</v>
      </c>
      <c r="K60" s="27">
        <f>IFERROR(L60/J60,0)</f>
        <v>0</v>
      </c>
      <c r="L60" s="26">
        <v>0</v>
      </c>
      <c r="M60" s="28">
        <v>0</v>
      </c>
      <c r="N60" s="29">
        <f>IFERROR(O60/M60,0)</f>
        <v>0</v>
      </c>
      <c r="O60" s="28">
        <v>0</v>
      </c>
      <c r="P60" s="30">
        <v>0</v>
      </c>
      <c r="Q60" s="31">
        <f>IFERROR(R60/P60,0)</f>
        <v>0</v>
      </c>
      <c r="R60" s="30">
        <v>0</v>
      </c>
      <c r="S60" s="32">
        <v>0</v>
      </c>
      <c r="T60" s="33">
        <f>IFERROR(U60/S60,0)</f>
        <v>0</v>
      </c>
      <c r="U60" s="32">
        <v>0</v>
      </c>
      <c r="V60" s="22">
        <v>0</v>
      </c>
      <c r="W60" s="23">
        <f>IFERROR(X60/V60,0)</f>
        <v>0</v>
      </c>
      <c r="X60" s="22">
        <v>0</v>
      </c>
      <c r="Y60" s="24">
        <v>0</v>
      </c>
      <c r="Z60" s="25">
        <f>IFERROR(AA60/Y60,0)</f>
        <v>0</v>
      </c>
      <c r="AA60" s="24">
        <v>0</v>
      </c>
      <c r="AB60" s="34">
        <f>SUM(D60,G60,J60,M60,P60,S60,V60,Y60)</f>
        <v>169</v>
      </c>
      <c r="AC60" s="34">
        <f>SUM(F60,I60,L60,O60,R60,U60,X60,AA60)</f>
        <v>253.5</v>
      </c>
    </row>
    <row r="61" spans="1:29" x14ac:dyDescent="0.25">
      <c r="A61" s="21" t="s">
        <v>124</v>
      </c>
      <c r="B61" s="21" t="s">
        <v>125</v>
      </c>
      <c r="C61" s="21" t="s">
        <v>23</v>
      </c>
      <c r="D61" s="22">
        <v>90</v>
      </c>
      <c r="E61" s="23">
        <f>IFERROR(F61/D61,0)</f>
        <v>0</v>
      </c>
      <c r="F61" s="22">
        <v>0</v>
      </c>
      <c r="G61" s="24">
        <v>0</v>
      </c>
      <c r="H61" s="25">
        <f>IFERROR(I61/G61,0)</f>
        <v>0</v>
      </c>
      <c r="I61" s="24">
        <v>0</v>
      </c>
      <c r="J61" s="26">
        <v>0</v>
      </c>
      <c r="K61" s="27">
        <f>IFERROR(L61/J61,0)</f>
        <v>0</v>
      </c>
      <c r="L61" s="26">
        <v>0</v>
      </c>
      <c r="M61" s="28">
        <v>0</v>
      </c>
      <c r="N61" s="29">
        <f>IFERROR(O61/M61,0)</f>
        <v>0</v>
      </c>
      <c r="O61" s="28">
        <v>0</v>
      </c>
      <c r="P61" s="30">
        <v>0</v>
      </c>
      <c r="Q61" s="31">
        <f>IFERROR(R61/P61,0)</f>
        <v>0</v>
      </c>
      <c r="R61" s="30">
        <v>0</v>
      </c>
      <c r="S61" s="32">
        <v>0</v>
      </c>
      <c r="T61" s="33">
        <f>IFERROR(U61/S61,0)</f>
        <v>0</v>
      </c>
      <c r="U61" s="32">
        <v>0</v>
      </c>
      <c r="V61" s="22">
        <v>0</v>
      </c>
      <c r="W61" s="23">
        <f>IFERROR(X61/V61,0)</f>
        <v>0</v>
      </c>
      <c r="X61" s="22">
        <v>0</v>
      </c>
      <c r="Y61" s="24">
        <v>0</v>
      </c>
      <c r="Z61" s="25">
        <f>IFERROR(AA61/Y61,0)</f>
        <v>0</v>
      </c>
      <c r="AA61" s="24">
        <v>0</v>
      </c>
      <c r="AB61" s="34">
        <f>SUM(D61,G61,J61,M61,P61,S61,V61,Y61)</f>
        <v>90</v>
      </c>
      <c r="AC61" s="34">
        <f>SUM(F61,I61,L61,O61,R61,U61,X61,AA61)</f>
        <v>0</v>
      </c>
    </row>
    <row r="62" spans="1:29" x14ac:dyDescent="0.25">
      <c r="A62" s="21" t="s">
        <v>126</v>
      </c>
      <c r="B62" s="21" t="s">
        <v>127</v>
      </c>
      <c r="C62" s="21" t="s">
        <v>23</v>
      </c>
      <c r="D62" s="22">
        <v>8</v>
      </c>
      <c r="E62" s="23">
        <f>IFERROR(F62/D62,0)</f>
        <v>1.5</v>
      </c>
      <c r="F62" s="22">
        <v>12</v>
      </c>
      <c r="G62" s="24">
        <v>0</v>
      </c>
      <c r="H62" s="25">
        <f>IFERROR(I62/G62,0)</f>
        <v>0</v>
      </c>
      <c r="I62" s="24">
        <v>0</v>
      </c>
      <c r="J62" s="26">
        <v>0</v>
      </c>
      <c r="K62" s="27">
        <f>IFERROR(L62/J62,0)</f>
        <v>0</v>
      </c>
      <c r="L62" s="26">
        <v>0</v>
      </c>
      <c r="M62" s="28">
        <v>0</v>
      </c>
      <c r="N62" s="29">
        <f>IFERROR(O62/M62,0)</f>
        <v>0</v>
      </c>
      <c r="O62" s="28">
        <v>0</v>
      </c>
      <c r="P62" s="30">
        <v>0</v>
      </c>
      <c r="Q62" s="31">
        <f>IFERROR(R62/P62,0)</f>
        <v>0</v>
      </c>
      <c r="R62" s="30">
        <v>0</v>
      </c>
      <c r="S62" s="32">
        <v>0</v>
      </c>
      <c r="T62" s="33">
        <f>IFERROR(U62/S62,0)</f>
        <v>0</v>
      </c>
      <c r="U62" s="32">
        <v>0</v>
      </c>
      <c r="V62" s="22">
        <v>0</v>
      </c>
      <c r="W62" s="23">
        <f>IFERROR(X62/V62,0)</f>
        <v>0</v>
      </c>
      <c r="X62" s="22">
        <v>0</v>
      </c>
      <c r="Y62" s="24">
        <v>0</v>
      </c>
      <c r="Z62" s="25">
        <f>IFERROR(AA62/Y62,0)</f>
        <v>0</v>
      </c>
      <c r="AA62" s="24">
        <v>0</v>
      </c>
      <c r="AB62" s="34">
        <f>SUM(D62,G62,J62,M62,P62,S62,V62,Y62)</f>
        <v>8</v>
      </c>
      <c r="AC62" s="34">
        <f>SUM(F62,I62,L62,O62,R62,U62,X62,AA62)</f>
        <v>12</v>
      </c>
    </row>
    <row r="63" spans="1:29" x14ac:dyDescent="0.25">
      <c r="A63" s="21" t="s">
        <v>128</v>
      </c>
      <c r="B63" s="21" t="s">
        <v>129</v>
      </c>
      <c r="C63" s="21" t="s">
        <v>23</v>
      </c>
      <c r="D63" s="22">
        <v>19</v>
      </c>
      <c r="E63" s="23">
        <f>IFERROR(F63/D63,0)</f>
        <v>1.5</v>
      </c>
      <c r="F63" s="22">
        <v>28.5</v>
      </c>
      <c r="G63" s="24">
        <v>0</v>
      </c>
      <c r="H63" s="25">
        <f>IFERROR(I63/G63,0)</f>
        <v>0</v>
      </c>
      <c r="I63" s="24">
        <v>0</v>
      </c>
      <c r="J63" s="26">
        <v>0</v>
      </c>
      <c r="K63" s="27">
        <f>IFERROR(L63/J63,0)</f>
        <v>0</v>
      </c>
      <c r="L63" s="26">
        <v>0</v>
      </c>
      <c r="M63" s="28">
        <v>0</v>
      </c>
      <c r="N63" s="29">
        <f>IFERROR(O63/M63,0)</f>
        <v>0</v>
      </c>
      <c r="O63" s="28">
        <v>0</v>
      </c>
      <c r="P63" s="30">
        <v>0</v>
      </c>
      <c r="Q63" s="31">
        <f>IFERROR(R63/P63,0)</f>
        <v>0</v>
      </c>
      <c r="R63" s="30">
        <v>0</v>
      </c>
      <c r="S63" s="32">
        <v>0</v>
      </c>
      <c r="T63" s="33">
        <f>IFERROR(U63/S63,0)</f>
        <v>0</v>
      </c>
      <c r="U63" s="32">
        <v>0</v>
      </c>
      <c r="V63" s="22">
        <v>0</v>
      </c>
      <c r="W63" s="23">
        <f>IFERROR(X63/V63,0)</f>
        <v>0</v>
      </c>
      <c r="X63" s="22">
        <v>0</v>
      </c>
      <c r="Y63" s="24">
        <v>0</v>
      </c>
      <c r="Z63" s="25">
        <f>IFERROR(AA63/Y63,0)</f>
        <v>0</v>
      </c>
      <c r="AA63" s="24">
        <v>0</v>
      </c>
      <c r="AB63" s="34">
        <f>SUM(D63,G63,J63,M63,P63,S63,V63,Y63)</f>
        <v>19</v>
      </c>
      <c r="AC63" s="34">
        <f>SUM(F63,I63,L63,O63,R63,U63,X63,AA63)</f>
        <v>28.5</v>
      </c>
    </row>
    <row r="64" spans="1:29" x14ac:dyDescent="0.25">
      <c r="A64" s="21" t="s">
        <v>130</v>
      </c>
      <c r="B64" s="21" t="s">
        <v>131</v>
      </c>
      <c r="C64" s="21" t="s">
        <v>23</v>
      </c>
      <c r="D64" s="22">
        <v>58</v>
      </c>
      <c r="E64" s="23">
        <f>IFERROR(F64/D64,0)</f>
        <v>0.3793103448275862</v>
      </c>
      <c r="F64" s="22">
        <v>22</v>
      </c>
      <c r="G64" s="24">
        <v>0</v>
      </c>
      <c r="H64" s="25">
        <f>IFERROR(I64/G64,0)</f>
        <v>0</v>
      </c>
      <c r="I64" s="24">
        <v>0</v>
      </c>
      <c r="J64" s="26">
        <v>0</v>
      </c>
      <c r="K64" s="27">
        <f>IFERROR(L64/J64,0)</f>
        <v>0</v>
      </c>
      <c r="L64" s="26">
        <v>0</v>
      </c>
      <c r="M64" s="28">
        <v>0</v>
      </c>
      <c r="N64" s="29">
        <f>IFERROR(O64/M64,0)</f>
        <v>0</v>
      </c>
      <c r="O64" s="28">
        <v>0</v>
      </c>
      <c r="P64" s="30">
        <v>0</v>
      </c>
      <c r="Q64" s="31">
        <f>IFERROR(R64/P64,0)</f>
        <v>0</v>
      </c>
      <c r="R64" s="30">
        <v>0</v>
      </c>
      <c r="S64" s="32">
        <v>0</v>
      </c>
      <c r="T64" s="33">
        <f>IFERROR(U64/S64,0)</f>
        <v>0</v>
      </c>
      <c r="U64" s="32">
        <v>0</v>
      </c>
      <c r="V64" s="22">
        <v>0</v>
      </c>
      <c r="W64" s="23">
        <f>IFERROR(X64/V64,0)</f>
        <v>0</v>
      </c>
      <c r="X64" s="22">
        <v>0</v>
      </c>
      <c r="Y64" s="24">
        <v>0</v>
      </c>
      <c r="Z64" s="25">
        <f>IFERROR(AA64/Y64,0)</f>
        <v>0</v>
      </c>
      <c r="AA64" s="24">
        <v>0</v>
      </c>
      <c r="AB64" s="34">
        <f>SUM(D64,G64,J64,M64,P64,S64,V64,Y64)</f>
        <v>58</v>
      </c>
      <c r="AC64" s="34">
        <f>SUM(F64,I64,L64,O64,R64,U64,X64,AA64)</f>
        <v>22</v>
      </c>
    </row>
    <row r="65" spans="1:29" x14ac:dyDescent="0.25">
      <c r="A65" s="21" t="s">
        <v>132</v>
      </c>
      <c r="B65" s="21" t="s">
        <v>133</v>
      </c>
      <c r="C65" s="21" t="s">
        <v>23</v>
      </c>
      <c r="D65" s="22">
        <v>466.5</v>
      </c>
      <c r="E65" s="23">
        <f>IFERROR(F65/D65,0)</f>
        <v>0.304930332261522</v>
      </c>
      <c r="F65" s="22">
        <v>142.25</v>
      </c>
      <c r="G65" s="24">
        <v>101.6</v>
      </c>
      <c r="H65" s="25">
        <f>IFERROR(I65/G65,0)</f>
        <v>0.5</v>
      </c>
      <c r="I65" s="24">
        <v>50.8</v>
      </c>
      <c r="J65" s="26">
        <v>0</v>
      </c>
      <c r="K65" s="27">
        <f>IFERROR(L65/J65,0)</f>
        <v>0</v>
      </c>
      <c r="L65" s="26">
        <v>0</v>
      </c>
      <c r="M65" s="28">
        <v>0</v>
      </c>
      <c r="N65" s="29">
        <f>IFERROR(O65/M65,0)</f>
        <v>0</v>
      </c>
      <c r="O65" s="28">
        <v>0</v>
      </c>
      <c r="P65" s="30">
        <v>0</v>
      </c>
      <c r="Q65" s="31">
        <f>IFERROR(R65/P65,0)</f>
        <v>0</v>
      </c>
      <c r="R65" s="30">
        <v>0</v>
      </c>
      <c r="S65" s="32">
        <v>111</v>
      </c>
      <c r="T65" s="33">
        <f>IFERROR(U65/S65,0)</f>
        <v>0.5</v>
      </c>
      <c r="U65" s="32">
        <v>55.5</v>
      </c>
      <c r="V65" s="22">
        <v>0</v>
      </c>
      <c r="W65" s="23">
        <f>IFERROR(X65/V65,0)</f>
        <v>0</v>
      </c>
      <c r="X65" s="22">
        <v>0</v>
      </c>
      <c r="Y65" s="24">
        <v>0</v>
      </c>
      <c r="Z65" s="25">
        <f>IFERROR(AA65/Y65,0)</f>
        <v>0</v>
      </c>
      <c r="AA65" s="24">
        <v>0</v>
      </c>
      <c r="AB65" s="34">
        <f>SUM(D65,G65,J65,M65,P65,S65,V65,Y65)</f>
        <v>679.1</v>
      </c>
      <c r="AC65" s="34">
        <f>SUM(F65,I65,L65,O65,R65,U65,X65,AA65)</f>
        <v>248.55</v>
      </c>
    </row>
    <row r="66" spans="1:29" x14ac:dyDescent="0.25">
      <c r="A66" s="21" t="s">
        <v>134</v>
      </c>
      <c r="B66" s="21" t="s">
        <v>135</v>
      </c>
      <c r="C66" s="21" t="s">
        <v>23</v>
      </c>
      <c r="D66" s="22">
        <v>273</v>
      </c>
      <c r="E66" s="23">
        <f>IFERROR(F66/D66,0)</f>
        <v>2.3076923076923075</v>
      </c>
      <c r="F66" s="22">
        <v>630</v>
      </c>
      <c r="G66" s="24">
        <v>16.5</v>
      </c>
      <c r="H66" s="25">
        <f>IFERROR(I66/G66,0)</f>
        <v>2.5</v>
      </c>
      <c r="I66" s="24">
        <v>41.25</v>
      </c>
      <c r="J66" s="26">
        <v>0</v>
      </c>
      <c r="K66" s="27">
        <f>IFERROR(L66/J66,0)</f>
        <v>0</v>
      </c>
      <c r="L66" s="26">
        <v>0</v>
      </c>
      <c r="M66" s="28">
        <v>0</v>
      </c>
      <c r="N66" s="29">
        <f>IFERROR(O66/M66,0)</f>
        <v>0</v>
      </c>
      <c r="O66" s="28">
        <v>0</v>
      </c>
      <c r="P66" s="30">
        <v>0</v>
      </c>
      <c r="Q66" s="31">
        <f>IFERROR(R66/P66,0)</f>
        <v>0</v>
      </c>
      <c r="R66" s="30">
        <v>0</v>
      </c>
      <c r="S66" s="32">
        <v>0</v>
      </c>
      <c r="T66" s="33">
        <f>IFERROR(U66/S66,0)</f>
        <v>0</v>
      </c>
      <c r="U66" s="32">
        <v>0</v>
      </c>
      <c r="V66" s="22">
        <v>0</v>
      </c>
      <c r="W66" s="23">
        <f>IFERROR(X66/V66,0)</f>
        <v>0</v>
      </c>
      <c r="X66" s="22">
        <v>0</v>
      </c>
      <c r="Y66" s="24">
        <v>0</v>
      </c>
      <c r="Z66" s="25">
        <f>IFERROR(AA66/Y66,0)</f>
        <v>0</v>
      </c>
      <c r="AA66" s="24">
        <v>0</v>
      </c>
      <c r="AB66" s="34">
        <f>SUM(D66,G66,J66,M66,P66,S66,V66,Y66)</f>
        <v>289.5</v>
      </c>
      <c r="AC66" s="34">
        <f>SUM(F66,I66,L66,O66,R66,U66,X66,AA66)</f>
        <v>671.25</v>
      </c>
    </row>
    <row r="67" spans="1:29" x14ac:dyDescent="0.25">
      <c r="A67" s="21" t="s">
        <v>136</v>
      </c>
      <c r="B67" s="21" t="s">
        <v>137</v>
      </c>
      <c r="C67" s="21" t="s">
        <v>23</v>
      </c>
      <c r="D67" s="22">
        <v>2.2</v>
      </c>
      <c r="E67" s="23">
        <f>IFERROR(F67/D67,0)</f>
        <v>2.2727272727272725</v>
      </c>
      <c r="F67" s="22">
        <v>5</v>
      </c>
      <c r="G67" s="24">
        <v>6.5</v>
      </c>
      <c r="H67" s="25">
        <f>IFERROR(I67/G67,0)</f>
        <v>25</v>
      </c>
      <c r="I67" s="24">
        <v>162.5</v>
      </c>
      <c r="J67" s="26">
        <v>0</v>
      </c>
      <c r="K67" s="27">
        <f>IFERROR(L67/J67,0)</f>
        <v>0</v>
      </c>
      <c r="L67" s="26">
        <v>0</v>
      </c>
      <c r="M67" s="28">
        <v>0</v>
      </c>
      <c r="N67" s="29">
        <f>IFERROR(O67/M67,0)</f>
        <v>0</v>
      </c>
      <c r="O67" s="28">
        <v>0</v>
      </c>
      <c r="P67" s="30">
        <v>0</v>
      </c>
      <c r="Q67" s="31">
        <f>IFERROR(R67/P67,0)</f>
        <v>0</v>
      </c>
      <c r="R67" s="30">
        <v>0</v>
      </c>
      <c r="S67" s="32">
        <v>0</v>
      </c>
      <c r="T67" s="33">
        <f>IFERROR(U67/S67,0)</f>
        <v>0</v>
      </c>
      <c r="U67" s="32">
        <v>0</v>
      </c>
      <c r="V67" s="22">
        <v>0</v>
      </c>
      <c r="W67" s="23">
        <f>IFERROR(X67/V67,0)</f>
        <v>0</v>
      </c>
      <c r="X67" s="22">
        <v>0</v>
      </c>
      <c r="Y67" s="24">
        <v>0</v>
      </c>
      <c r="Z67" s="25">
        <f>IFERROR(AA67/Y67,0)</f>
        <v>0</v>
      </c>
      <c r="AA67" s="24">
        <v>0</v>
      </c>
      <c r="AB67" s="34">
        <f>SUM(D67,G67,J67,M67,P67,S67,V67,Y67)</f>
        <v>8.7</v>
      </c>
      <c r="AC67" s="34">
        <f>SUM(F67,I67,L67,O67,R67,U67,X67,AA67)</f>
        <v>167.5</v>
      </c>
    </row>
    <row r="68" spans="1:29" x14ac:dyDescent="0.25">
      <c r="A68" s="21" t="s">
        <v>138</v>
      </c>
      <c r="B68" s="21" t="s">
        <v>139</v>
      </c>
      <c r="C68" s="21" t="s">
        <v>23</v>
      </c>
      <c r="D68" s="22">
        <v>0.2</v>
      </c>
      <c r="E68" s="23">
        <f>IFERROR(F68/D68,0)</f>
        <v>50</v>
      </c>
      <c r="F68" s="22">
        <v>10</v>
      </c>
      <c r="G68" s="24">
        <v>3.8</v>
      </c>
      <c r="H68" s="25">
        <f>IFERROR(I68/G68,0)</f>
        <v>50</v>
      </c>
      <c r="I68" s="24">
        <v>190</v>
      </c>
      <c r="J68" s="26">
        <v>0</v>
      </c>
      <c r="K68" s="27">
        <f>IFERROR(L68/J68,0)</f>
        <v>0</v>
      </c>
      <c r="L68" s="26">
        <v>0</v>
      </c>
      <c r="M68" s="28">
        <v>0</v>
      </c>
      <c r="N68" s="29">
        <f>IFERROR(O68/M68,0)</f>
        <v>0</v>
      </c>
      <c r="O68" s="28">
        <v>0</v>
      </c>
      <c r="P68" s="30">
        <v>0</v>
      </c>
      <c r="Q68" s="31">
        <f>IFERROR(R68/P68,0)</f>
        <v>0</v>
      </c>
      <c r="R68" s="30">
        <v>0</v>
      </c>
      <c r="S68" s="32">
        <v>0</v>
      </c>
      <c r="T68" s="33">
        <f>IFERROR(U68/S68,0)</f>
        <v>0</v>
      </c>
      <c r="U68" s="32">
        <v>0</v>
      </c>
      <c r="V68" s="22">
        <v>0</v>
      </c>
      <c r="W68" s="23">
        <f>IFERROR(X68/V68,0)</f>
        <v>0</v>
      </c>
      <c r="X68" s="22">
        <v>0</v>
      </c>
      <c r="Y68" s="24">
        <v>0</v>
      </c>
      <c r="Z68" s="25">
        <f>IFERROR(AA68/Y68,0)</f>
        <v>0</v>
      </c>
      <c r="AA68" s="24">
        <v>0</v>
      </c>
      <c r="AB68" s="34">
        <f>SUM(D68,G68,J68,M68,P68,S68,V68,Y68)</f>
        <v>4</v>
      </c>
      <c r="AC68" s="34">
        <f>SUM(F68,I68,L68,O68,R68,U68,X68,AA68)</f>
        <v>200</v>
      </c>
    </row>
    <row r="69" spans="1:29" x14ac:dyDescent="0.25">
      <c r="A69" s="21" t="s">
        <v>140</v>
      </c>
      <c r="B69" s="21" t="s">
        <v>141</v>
      </c>
      <c r="C69" s="21" t="s">
        <v>23</v>
      </c>
      <c r="D69" s="22">
        <v>220</v>
      </c>
      <c r="E69" s="23">
        <f>IFERROR(F69/D69,0)</f>
        <v>2</v>
      </c>
      <c r="F69" s="22">
        <v>440</v>
      </c>
      <c r="G69" s="24">
        <v>0</v>
      </c>
      <c r="H69" s="25">
        <f>IFERROR(I69/G69,0)</f>
        <v>0</v>
      </c>
      <c r="I69" s="24">
        <v>0</v>
      </c>
      <c r="J69" s="26">
        <v>0</v>
      </c>
      <c r="K69" s="27">
        <f>IFERROR(L69/J69,0)</f>
        <v>0</v>
      </c>
      <c r="L69" s="26">
        <v>0</v>
      </c>
      <c r="M69" s="28">
        <v>0</v>
      </c>
      <c r="N69" s="29">
        <f>IFERROR(O69/M69,0)</f>
        <v>0</v>
      </c>
      <c r="O69" s="28">
        <v>0</v>
      </c>
      <c r="P69" s="30">
        <v>0</v>
      </c>
      <c r="Q69" s="31">
        <f>IFERROR(R69/P69,0)</f>
        <v>0</v>
      </c>
      <c r="R69" s="30">
        <v>0</v>
      </c>
      <c r="S69" s="32">
        <v>0</v>
      </c>
      <c r="T69" s="33">
        <f>IFERROR(U69/S69,0)</f>
        <v>0</v>
      </c>
      <c r="U69" s="32">
        <v>0</v>
      </c>
      <c r="V69" s="22">
        <v>0</v>
      </c>
      <c r="W69" s="23">
        <f>IFERROR(X69/V69,0)</f>
        <v>0</v>
      </c>
      <c r="X69" s="22">
        <v>0</v>
      </c>
      <c r="Y69" s="24">
        <v>0</v>
      </c>
      <c r="Z69" s="25">
        <f>IFERROR(AA69/Y69,0)</f>
        <v>0</v>
      </c>
      <c r="AA69" s="24">
        <v>0</v>
      </c>
      <c r="AB69" s="34">
        <f>SUM(D69,G69,J69,M69,P69,S69,V69,Y69)</f>
        <v>220</v>
      </c>
      <c r="AC69" s="34">
        <f>SUM(F69,I69,L69,O69,R69,U69,X69,AA69)</f>
        <v>440</v>
      </c>
    </row>
    <row r="70" spans="1:29" x14ac:dyDescent="0.25">
      <c r="A70" s="21" t="s">
        <v>142</v>
      </c>
      <c r="B70" s="21" t="s">
        <v>143</v>
      </c>
      <c r="C70" s="21" t="s">
        <v>23</v>
      </c>
      <c r="D70" s="22">
        <v>0</v>
      </c>
      <c r="E70" s="23">
        <f>IFERROR(F70/D70,0)</f>
        <v>0</v>
      </c>
      <c r="F70" s="22">
        <v>0</v>
      </c>
      <c r="G70" s="24">
        <v>0</v>
      </c>
      <c r="H70" s="25">
        <f>IFERROR(I70/G70,0)</f>
        <v>0</v>
      </c>
      <c r="I70" s="24">
        <v>0</v>
      </c>
      <c r="J70" s="26">
        <v>0</v>
      </c>
      <c r="K70" s="27">
        <f>IFERROR(L70/J70,0)</f>
        <v>0</v>
      </c>
      <c r="L70" s="26">
        <v>0</v>
      </c>
      <c r="M70" s="28">
        <v>0</v>
      </c>
      <c r="N70" s="29">
        <f>IFERROR(O70/M70,0)</f>
        <v>0</v>
      </c>
      <c r="O70" s="28">
        <v>0</v>
      </c>
      <c r="P70" s="30">
        <v>0</v>
      </c>
      <c r="Q70" s="31">
        <f>IFERROR(R70/P70,0)</f>
        <v>0</v>
      </c>
      <c r="R70" s="30">
        <v>0</v>
      </c>
      <c r="S70" s="32">
        <v>109</v>
      </c>
      <c r="T70" s="33">
        <f>IFERROR(U70/S70,0)</f>
        <v>2</v>
      </c>
      <c r="U70" s="32">
        <v>218</v>
      </c>
      <c r="V70" s="22">
        <v>0</v>
      </c>
      <c r="W70" s="23">
        <f>IFERROR(X70/V70,0)</f>
        <v>0</v>
      </c>
      <c r="X70" s="22">
        <v>0</v>
      </c>
      <c r="Y70" s="24">
        <v>0</v>
      </c>
      <c r="Z70" s="25">
        <f>IFERROR(AA70/Y70,0)</f>
        <v>0</v>
      </c>
      <c r="AA70" s="24">
        <v>0</v>
      </c>
      <c r="AB70" s="34">
        <f>SUM(D70,G70,J70,M70,P70,S70,V70,Y70)</f>
        <v>109</v>
      </c>
      <c r="AC70" s="34">
        <f>SUM(F70,I70,L70,O70,R70,U70,X70,AA70)</f>
        <v>218</v>
      </c>
    </row>
    <row r="71" spans="1:29" x14ac:dyDescent="0.25">
      <c r="A71" s="21" t="s">
        <v>144</v>
      </c>
      <c r="B71" s="21" t="s">
        <v>145</v>
      </c>
      <c r="C71" s="21" t="s">
        <v>23</v>
      </c>
      <c r="D71" s="22">
        <v>443</v>
      </c>
      <c r="E71" s="23">
        <f>IFERROR(F71/D71,0)</f>
        <v>0.1891647855530474</v>
      </c>
      <c r="F71" s="22">
        <v>83.8</v>
      </c>
      <c r="G71" s="24">
        <v>66.5</v>
      </c>
      <c r="H71" s="25">
        <f>IFERROR(I71/G71,0)</f>
        <v>0.13789473684210526</v>
      </c>
      <c r="I71" s="24">
        <v>9.17</v>
      </c>
      <c r="J71" s="26">
        <v>0</v>
      </c>
      <c r="K71" s="27">
        <f>IFERROR(L71/J71,0)</f>
        <v>0</v>
      </c>
      <c r="L71" s="26">
        <v>0</v>
      </c>
      <c r="M71" s="28">
        <v>0</v>
      </c>
      <c r="N71" s="29">
        <f>IFERROR(O71/M71,0)</f>
        <v>0</v>
      </c>
      <c r="O71" s="28">
        <v>0</v>
      </c>
      <c r="P71" s="30">
        <v>0</v>
      </c>
      <c r="Q71" s="31">
        <f>IFERROR(R71/P71,0)</f>
        <v>0</v>
      </c>
      <c r="R71" s="30">
        <v>0</v>
      </c>
      <c r="S71" s="32">
        <v>0</v>
      </c>
      <c r="T71" s="33">
        <f>IFERROR(U71/S71,0)</f>
        <v>0</v>
      </c>
      <c r="U71" s="32">
        <v>0</v>
      </c>
      <c r="V71" s="22">
        <v>0</v>
      </c>
      <c r="W71" s="23">
        <f>IFERROR(X71/V71,0)</f>
        <v>0</v>
      </c>
      <c r="X71" s="22">
        <v>0</v>
      </c>
      <c r="Y71" s="24">
        <v>0</v>
      </c>
      <c r="Z71" s="25">
        <f>IFERROR(AA71/Y71,0)</f>
        <v>0</v>
      </c>
      <c r="AA71" s="24">
        <v>0</v>
      </c>
      <c r="AB71" s="34">
        <f>SUM(D71,G71,J71,M71,P71,S71,V71,Y71)</f>
        <v>509.5</v>
      </c>
      <c r="AC71" s="34">
        <f>SUM(F71,I71,L71,O71,R71,U71,X71,AA71)</f>
        <v>92.97</v>
      </c>
    </row>
    <row r="72" spans="1:29" x14ac:dyDescent="0.25">
      <c r="A72" s="21" t="s">
        <v>146</v>
      </c>
      <c r="B72" s="21" t="s">
        <v>147</v>
      </c>
      <c r="C72" s="21" t="s">
        <v>23</v>
      </c>
      <c r="D72" s="22">
        <v>1066.5</v>
      </c>
      <c r="E72" s="23">
        <f>IFERROR(F72/D72,0)</f>
        <v>0.07693389592123769</v>
      </c>
      <c r="F72" s="22">
        <v>82.05</v>
      </c>
      <c r="G72" s="24">
        <v>114.5</v>
      </c>
      <c r="H72" s="25">
        <f>IFERROR(I72/G72,0)</f>
        <v>0.09999999999999999</v>
      </c>
      <c r="I72" s="24">
        <v>11.45</v>
      </c>
      <c r="J72" s="26">
        <v>0</v>
      </c>
      <c r="K72" s="27">
        <f>IFERROR(L72/J72,0)</f>
        <v>0</v>
      </c>
      <c r="L72" s="26">
        <v>0</v>
      </c>
      <c r="M72" s="28">
        <v>0</v>
      </c>
      <c r="N72" s="29">
        <f>IFERROR(O72/M72,0)</f>
        <v>0</v>
      </c>
      <c r="O72" s="28">
        <v>0</v>
      </c>
      <c r="P72" s="30">
        <v>0</v>
      </c>
      <c r="Q72" s="31">
        <f>IFERROR(R72/P72,0)</f>
        <v>0</v>
      </c>
      <c r="R72" s="30">
        <v>0</v>
      </c>
      <c r="S72" s="32">
        <v>0</v>
      </c>
      <c r="T72" s="33">
        <f>IFERROR(U72/S72,0)</f>
        <v>0</v>
      </c>
      <c r="U72" s="32">
        <v>0</v>
      </c>
      <c r="V72" s="22">
        <v>0</v>
      </c>
      <c r="W72" s="23">
        <f>IFERROR(X72/V72,0)</f>
        <v>0</v>
      </c>
      <c r="X72" s="22">
        <v>0</v>
      </c>
      <c r="Y72" s="24">
        <v>0</v>
      </c>
      <c r="Z72" s="25">
        <f>IFERROR(AA72/Y72,0)</f>
        <v>0</v>
      </c>
      <c r="AA72" s="24">
        <v>0</v>
      </c>
      <c r="AB72" s="34">
        <f>SUM(D72,G72,J72,M72,P72,S72,V72,Y72)</f>
        <v>1181</v>
      </c>
      <c r="AC72" s="34">
        <f>SUM(F72,I72,L72,O72,R72,U72,X72,AA72)</f>
        <v>93.5</v>
      </c>
    </row>
    <row r="73" spans="1:29" x14ac:dyDescent="0.25">
      <c r="A73" s="21" t="s">
        <v>148</v>
      </c>
      <c r="B73" s="21" t="s">
        <v>149</v>
      </c>
      <c r="C73" s="21" t="s">
        <v>23</v>
      </c>
      <c r="D73" s="22">
        <v>28</v>
      </c>
      <c r="E73" s="23">
        <f>IFERROR(F73/D73,0)</f>
        <v>0.024999999999999998</v>
      </c>
      <c r="F73" s="22">
        <v>0.7</v>
      </c>
      <c r="G73" s="24">
        <v>14</v>
      </c>
      <c r="H73" s="25">
        <f>IFERROR(I73/G73,0)</f>
        <v>0.17285714285714285</v>
      </c>
      <c r="I73" s="24">
        <v>2.42</v>
      </c>
      <c r="J73" s="26">
        <v>0</v>
      </c>
      <c r="K73" s="27">
        <f>IFERROR(L73/J73,0)</f>
        <v>0</v>
      </c>
      <c r="L73" s="26">
        <v>0</v>
      </c>
      <c r="M73" s="28">
        <v>0</v>
      </c>
      <c r="N73" s="29">
        <f>IFERROR(O73/M73,0)</f>
        <v>0</v>
      </c>
      <c r="O73" s="28">
        <v>0</v>
      </c>
      <c r="P73" s="30">
        <v>0</v>
      </c>
      <c r="Q73" s="31">
        <f>IFERROR(R73/P73,0)</f>
        <v>0</v>
      </c>
      <c r="R73" s="30">
        <v>0</v>
      </c>
      <c r="S73" s="32">
        <v>20.5</v>
      </c>
      <c r="T73" s="33">
        <f>IFERROR(U73/S73,0)</f>
        <v>0.19999999999999998</v>
      </c>
      <c r="U73" s="32">
        <v>4.1</v>
      </c>
      <c r="V73" s="22">
        <v>0</v>
      </c>
      <c r="W73" s="23">
        <f>IFERROR(X73/V73,0)</f>
        <v>0</v>
      </c>
      <c r="X73" s="22">
        <v>0</v>
      </c>
      <c r="Y73" s="24">
        <v>0</v>
      </c>
      <c r="Z73" s="25">
        <f>IFERROR(AA73/Y73,0)</f>
        <v>0</v>
      </c>
      <c r="AA73" s="24">
        <v>0</v>
      </c>
      <c r="AB73" s="34">
        <f>SUM(D73,G73,J73,M73,P73,S73,V73,Y73)</f>
        <v>62.5</v>
      </c>
      <c r="AC73" s="34">
        <f>SUM(F73,I73,L73,O73,R73,U73,X73,AA73)</f>
        <v>7.22</v>
      </c>
    </row>
    <row r="74" spans="1:29" x14ac:dyDescent="0.25">
      <c r="A74" s="21" t="s">
        <v>150</v>
      </c>
      <c r="B74" s="21" t="s">
        <v>151</v>
      </c>
      <c r="C74" s="21" t="s">
        <v>23</v>
      </c>
      <c r="D74" s="22">
        <v>17</v>
      </c>
      <c r="E74" s="23">
        <f>IFERROR(F74/D74,0)</f>
        <v>4</v>
      </c>
      <c r="F74" s="22">
        <v>68</v>
      </c>
      <c r="G74" s="24">
        <v>9.1</v>
      </c>
      <c r="H74" s="25">
        <f>IFERROR(I74/G74,0)</f>
        <v>11.868131868131869</v>
      </c>
      <c r="I74" s="24">
        <v>108</v>
      </c>
      <c r="J74" s="26">
        <v>0</v>
      </c>
      <c r="K74" s="27">
        <f>IFERROR(L74/J74,0)</f>
        <v>0</v>
      </c>
      <c r="L74" s="26">
        <v>0</v>
      </c>
      <c r="M74" s="28">
        <v>0</v>
      </c>
      <c r="N74" s="29">
        <f>IFERROR(O74/M74,0)</f>
        <v>0</v>
      </c>
      <c r="O74" s="28">
        <v>0</v>
      </c>
      <c r="P74" s="30">
        <v>0</v>
      </c>
      <c r="Q74" s="31">
        <f>IFERROR(R74/P74,0)</f>
        <v>0</v>
      </c>
      <c r="R74" s="30">
        <v>0</v>
      </c>
      <c r="S74" s="32">
        <v>0</v>
      </c>
      <c r="T74" s="33">
        <f>IFERROR(U74/S74,0)</f>
        <v>0</v>
      </c>
      <c r="U74" s="32">
        <v>0</v>
      </c>
      <c r="V74" s="22">
        <v>0</v>
      </c>
      <c r="W74" s="23">
        <f>IFERROR(X74/V74,0)</f>
        <v>0</v>
      </c>
      <c r="X74" s="22">
        <v>0</v>
      </c>
      <c r="Y74" s="24">
        <v>0</v>
      </c>
      <c r="Z74" s="25">
        <f>IFERROR(AA74/Y74,0)</f>
        <v>0</v>
      </c>
      <c r="AA74" s="24">
        <v>0</v>
      </c>
      <c r="AB74" s="34">
        <f>SUM(D74,G74,J74,M74,P74,S74,V74,Y74)</f>
        <v>26.1</v>
      </c>
      <c r="AC74" s="34">
        <f>SUM(F74,I74,L74,O74,R74,U74,X74,AA74)</f>
        <v>176</v>
      </c>
    </row>
    <row r="75" spans="1:29" x14ac:dyDescent="0.25">
      <c r="A75" s="21" t="s">
        <v>152</v>
      </c>
      <c r="B75" s="21" t="s">
        <v>153</v>
      </c>
      <c r="C75" s="21" t="s">
        <v>23</v>
      </c>
      <c r="D75" s="22">
        <v>31</v>
      </c>
      <c r="E75" s="23">
        <f>IFERROR(F75/D75,0)</f>
        <v>4</v>
      </c>
      <c r="F75" s="22">
        <v>124</v>
      </c>
      <c r="G75" s="24">
        <v>292.8</v>
      </c>
      <c r="H75" s="25">
        <f>IFERROR(I75/G75,0)</f>
        <v>4</v>
      </c>
      <c r="I75" s="24">
        <v>1171.2</v>
      </c>
      <c r="J75" s="26">
        <v>0</v>
      </c>
      <c r="K75" s="27">
        <f>IFERROR(L75/J75,0)</f>
        <v>0</v>
      </c>
      <c r="L75" s="26">
        <v>0</v>
      </c>
      <c r="M75" s="28">
        <v>0</v>
      </c>
      <c r="N75" s="29">
        <f>IFERROR(O75/M75,0)</f>
        <v>0</v>
      </c>
      <c r="O75" s="28">
        <v>0</v>
      </c>
      <c r="P75" s="30">
        <v>0</v>
      </c>
      <c r="Q75" s="31">
        <f>IFERROR(R75/P75,0)</f>
        <v>0</v>
      </c>
      <c r="R75" s="30">
        <v>0</v>
      </c>
      <c r="S75" s="32">
        <v>0</v>
      </c>
      <c r="T75" s="33">
        <f>IFERROR(U75/S75,0)</f>
        <v>0</v>
      </c>
      <c r="U75" s="32">
        <v>0</v>
      </c>
      <c r="V75" s="22">
        <v>0</v>
      </c>
      <c r="W75" s="23">
        <f>IFERROR(X75/V75,0)</f>
        <v>0</v>
      </c>
      <c r="X75" s="22">
        <v>0</v>
      </c>
      <c r="Y75" s="24">
        <v>0</v>
      </c>
      <c r="Z75" s="25">
        <f>IFERROR(AA75/Y75,0)</f>
        <v>0</v>
      </c>
      <c r="AA75" s="24">
        <v>0</v>
      </c>
      <c r="AB75" s="34">
        <f>SUM(D75,G75,J75,M75,P75,S75,V75,Y75)</f>
        <v>323.8</v>
      </c>
      <c r="AC75" s="34">
        <f>SUM(F75,I75,L75,O75,R75,U75,X75,AA75)</f>
        <v>1295.2</v>
      </c>
    </row>
    <row r="76" spans="1:29" x14ac:dyDescent="0.25">
      <c r="A76" s="21" t="s">
        <v>154</v>
      </c>
      <c r="B76" s="21" t="s">
        <v>155</v>
      </c>
      <c r="C76" s="21" t="s">
        <v>23</v>
      </c>
      <c r="D76" s="22">
        <v>36</v>
      </c>
      <c r="E76" s="23">
        <f>IFERROR(F76/D76,0)</f>
        <v>0</v>
      </c>
      <c r="F76" s="22">
        <v>0</v>
      </c>
      <c r="G76" s="24">
        <v>0</v>
      </c>
      <c r="H76" s="25">
        <f>IFERROR(I76/G76,0)</f>
        <v>0</v>
      </c>
      <c r="I76" s="24">
        <v>0</v>
      </c>
      <c r="J76" s="26">
        <v>0</v>
      </c>
      <c r="K76" s="27">
        <f>IFERROR(L76/J76,0)</f>
        <v>0</v>
      </c>
      <c r="L76" s="26">
        <v>0</v>
      </c>
      <c r="M76" s="28">
        <v>0</v>
      </c>
      <c r="N76" s="29">
        <f>IFERROR(O76/M76,0)</f>
        <v>0</v>
      </c>
      <c r="O76" s="28">
        <v>0</v>
      </c>
      <c r="P76" s="30">
        <v>0</v>
      </c>
      <c r="Q76" s="31">
        <f>IFERROR(R76/P76,0)</f>
        <v>0</v>
      </c>
      <c r="R76" s="30">
        <v>0</v>
      </c>
      <c r="S76" s="32">
        <v>0</v>
      </c>
      <c r="T76" s="33">
        <f>IFERROR(U76/S76,0)</f>
        <v>0</v>
      </c>
      <c r="U76" s="32">
        <v>0</v>
      </c>
      <c r="V76" s="22">
        <v>0</v>
      </c>
      <c r="W76" s="23">
        <f>IFERROR(X76/V76,0)</f>
        <v>0</v>
      </c>
      <c r="X76" s="22">
        <v>0</v>
      </c>
      <c r="Y76" s="24">
        <v>0</v>
      </c>
      <c r="Z76" s="25">
        <f>IFERROR(AA76/Y76,0)</f>
        <v>0</v>
      </c>
      <c r="AA76" s="24">
        <v>0</v>
      </c>
      <c r="AB76" s="34">
        <f>SUM(D76,G76,J76,M76,P76,S76,V76,Y76)</f>
        <v>36</v>
      </c>
      <c r="AC76" s="34">
        <f>SUM(F76,I76,L76,O76,R76,U76,X76,AA76)</f>
        <v>0</v>
      </c>
    </row>
    <row r="77" spans="1:29" x14ac:dyDescent="0.25">
      <c r="A77" s="21" t="s">
        <v>156</v>
      </c>
      <c r="B77" s="21" t="s">
        <v>157</v>
      </c>
      <c r="C77" s="21" t="s">
        <v>23</v>
      </c>
      <c r="D77" s="22">
        <v>1.5</v>
      </c>
      <c r="E77" s="23">
        <f>IFERROR(F77/D77,0)</f>
        <v>2.5</v>
      </c>
      <c r="F77" s="22">
        <v>3.75</v>
      </c>
      <c r="G77" s="24">
        <v>0</v>
      </c>
      <c r="H77" s="25">
        <f>IFERROR(I77/G77,0)</f>
        <v>0</v>
      </c>
      <c r="I77" s="24">
        <v>0</v>
      </c>
      <c r="J77" s="26">
        <v>0</v>
      </c>
      <c r="K77" s="27">
        <f>IFERROR(L77/J77,0)</f>
        <v>0</v>
      </c>
      <c r="L77" s="26">
        <v>0</v>
      </c>
      <c r="M77" s="28">
        <v>0</v>
      </c>
      <c r="N77" s="29">
        <f>IFERROR(O77/M77,0)</f>
        <v>0</v>
      </c>
      <c r="O77" s="28">
        <v>0</v>
      </c>
      <c r="P77" s="30">
        <v>0</v>
      </c>
      <c r="Q77" s="31">
        <f>IFERROR(R77/P77,0)</f>
        <v>0</v>
      </c>
      <c r="R77" s="30">
        <v>0</v>
      </c>
      <c r="S77" s="32">
        <v>68.5</v>
      </c>
      <c r="T77" s="33">
        <f>IFERROR(U77/S77,0)</f>
        <v>2.5</v>
      </c>
      <c r="U77" s="32">
        <v>171.25</v>
      </c>
      <c r="V77" s="22">
        <v>0</v>
      </c>
      <c r="W77" s="23">
        <f>IFERROR(X77/V77,0)</f>
        <v>0</v>
      </c>
      <c r="X77" s="22">
        <v>0</v>
      </c>
      <c r="Y77" s="24">
        <v>0</v>
      </c>
      <c r="Z77" s="25">
        <f>IFERROR(AA77/Y77,0)</f>
        <v>0</v>
      </c>
      <c r="AA77" s="24">
        <v>0</v>
      </c>
      <c r="AB77" s="34">
        <f>SUM(D77,G77,J77,M77,P77,S77,V77,Y77)</f>
        <v>70</v>
      </c>
      <c r="AC77" s="34">
        <f>SUM(F77,I77,L77,O77,R77,U77,X77,AA77)</f>
        <v>175</v>
      </c>
    </row>
    <row r="78" spans="1:29" x14ac:dyDescent="0.25">
      <c r="A78" s="21" t="s">
        <v>158</v>
      </c>
      <c r="B78" s="21" t="s">
        <v>159</v>
      </c>
      <c r="C78" s="21" t="s">
        <v>23</v>
      </c>
      <c r="D78" s="22">
        <v>0</v>
      </c>
      <c r="E78" s="23">
        <f>IFERROR(F78/D78,0)</f>
        <v>0</v>
      </c>
      <c r="F78" s="22">
        <v>0</v>
      </c>
      <c r="G78" s="24">
        <v>0</v>
      </c>
      <c r="H78" s="25">
        <f>IFERROR(I78/G78,0)</f>
        <v>0</v>
      </c>
      <c r="I78" s="24">
        <v>0</v>
      </c>
      <c r="J78" s="26">
        <v>0</v>
      </c>
      <c r="K78" s="27">
        <f>IFERROR(L78/J78,0)</f>
        <v>0</v>
      </c>
      <c r="L78" s="26">
        <v>0</v>
      </c>
      <c r="M78" s="28">
        <v>0</v>
      </c>
      <c r="N78" s="29">
        <f>IFERROR(O78/M78,0)</f>
        <v>0</v>
      </c>
      <c r="O78" s="28">
        <v>0</v>
      </c>
      <c r="P78" s="30">
        <v>0</v>
      </c>
      <c r="Q78" s="31">
        <f>IFERROR(R78/P78,0)</f>
        <v>0</v>
      </c>
      <c r="R78" s="30">
        <v>0</v>
      </c>
      <c r="S78" s="32">
        <v>264.5</v>
      </c>
      <c r="T78" s="33">
        <f>IFERROR(U78/S78,0)</f>
        <v>2.8000000000000003</v>
      </c>
      <c r="U78" s="32">
        <v>740.6</v>
      </c>
      <c r="V78" s="22">
        <v>0</v>
      </c>
      <c r="W78" s="23">
        <f>IFERROR(X78/V78,0)</f>
        <v>0</v>
      </c>
      <c r="X78" s="22">
        <v>0</v>
      </c>
      <c r="Y78" s="24">
        <v>0</v>
      </c>
      <c r="Z78" s="25">
        <f>IFERROR(AA78/Y78,0)</f>
        <v>0</v>
      </c>
      <c r="AA78" s="24">
        <v>0</v>
      </c>
      <c r="AB78" s="34">
        <f>SUM(D78,G78,J78,M78,P78,S78,V78,Y78)</f>
        <v>264.5</v>
      </c>
      <c r="AC78" s="34">
        <f>SUM(F78,I78,L78,O78,R78,U78,X78,AA78)</f>
        <v>740.6</v>
      </c>
    </row>
    <row r="79" spans="1:29" x14ac:dyDescent="0.25">
      <c r="A79" s="21" t="s">
        <v>160</v>
      </c>
      <c r="B79" s="21" t="s">
        <v>161</v>
      </c>
      <c r="C79" s="21" t="s">
        <v>23</v>
      </c>
      <c r="D79" s="22">
        <v>0</v>
      </c>
      <c r="E79" s="23">
        <f>IFERROR(F79/D79,0)</f>
        <v>0</v>
      </c>
      <c r="F79" s="22">
        <v>0</v>
      </c>
      <c r="G79" s="24">
        <v>39.8</v>
      </c>
      <c r="H79" s="25">
        <f>IFERROR(I79/G79,0)</f>
        <v>0</v>
      </c>
      <c r="I79" s="24">
        <v>0</v>
      </c>
      <c r="J79" s="26">
        <v>0</v>
      </c>
      <c r="K79" s="27">
        <f>IFERROR(L79/J79,0)</f>
        <v>0</v>
      </c>
      <c r="L79" s="26">
        <v>0</v>
      </c>
      <c r="M79" s="28">
        <v>0</v>
      </c>
      <c r="N79" s="29">
        <f>IFERROR(O79/M79,0)</f>
        <v>0</v>
      </c>
      <c r="O79" s="28">
        <v>0</v>
      </c>
      <c r="P79" s="30">
        <v>0</v>
      </c>
      <c r="Q79" s="31">
        <f>IFERROR(R79/P79,0)</f>
        <v>0</v>
      </c>
      <c r="R79" s="30">
        <v>0</v>
      </c>
      <c r="S79" s="32">
        <v>845.5</v>
      </c>
      <c r="T79" s="33">
        <f>IFERROR(U79/S79,0)</f>
        <v>0.10496747486694263</v>
      </c>
      <c r="U79" s="32">
        <v>88.75</v>
      </c>
      <c r="V79" s="22">
        <v>0</v>
      </c>
      <c r="W79" s="23">
        <f>IFERROR(X79/V79,0)</f>
        <v>0</v>
      </c>
      <c r="X79" s="22">
        <v>0</v>
      </c>
      <c r="Y79" s="24">
        <v>0</v>
      </c>
      <c r="Z79" s="25">
        <f>IFERROR(AA79/Y79,0)</f>
        <v>0</v>
      </c>
      <c r="AA79" s="24">
        <v>0</v>
      </c>
      <c r="AB79" s="34">
        <f>SUM(D79,G79,J79,M79,P79,S79,V79,Y79)</f>
        <v>885.3</v>
      </c>
      <c r="AC79" s="34">
        <f>SUM(F79,I79,L79,O79,R79,U79,X79,AA79)</f>
        <v>88.75</v>
      </c>
    </row>
    <row r="80" spans="1:29" x14ac:dyDescent="0.25">
      <c r="A80" s="20" t="s">
        <v>162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x14ac:dyDescent="0.25">
      <c r="A81" s="21" t="s">
        <v>163</v>
      </c>
      <c r="B81" s="21" t="s">
        <v>164</v>
      </c>
      <c r="C81" s="21" t="s">
        <v>23</v>
      </c>
      <c r="D81" s="22">
        <v>3543</v>
      </c>
      <c r="E81" s="23">
        <f>IFERROR(F81/D81,0)</f>
        <v>0</v>
      </c>
      <c r="F81" s="22">
        <v>0</v>
      </c>
      <c r="G81" s="24">
        <v>0</v>
      </c>
      <c r="H81" s="25">
        <f>IFERROR(I81/G81,0)</f>
        <v>0</v>
      </c>
      <c r="I81" s="24">
        <v>0</v>
      </c>
      <c r="J81" s="26">
        <v>0</v>
      </c>
      <c r="K81" s="27">
        <f>IFERROR(L81/J81,0)</f>
        <v>0</v>
      </c>
      <c r="L81" s="26">
        <v>0</v>
      </c>
      <c r="M81" s="28">
        <v>0</v>
      </c>
      <c r="N81" s="29">
        <f>IFERROR(O81/M81,0)</f>
        <v>0</v>
      </c>
      <c r="O81" s="28">
        <v>0</v>
      </c>
      <c r="P81" s="30">
        <v>0</v>
      </c>
      <c r="Q81" s="31">
        <f>IFERROR(R81/P81,0)</f>
        <v>0</v>
      </c>
      <c r="R81" s="30">
        <v>0</v>
      </c>
      <c r="S81" s="32">
        <v>0</v>
      </c>
      <c r="T81" s="33">
        <f>IFERROR(U81/S81,0)</f>
        <v>0</v>
      </c>
      <c r="U81" s="32">
        <v>0</v>
      </c>
      <c r="V81" s="22">
        <v>0</v>
      </c>
      <c r="W81" s="23">
        <f>IFERROR(X81/V81,0)</f>
        <v>0</v>
      </c>
      <c r="X81" s="22">
        <v>0</v>
      </c>
      <c r="Y81" s="24">
        <v>0</v>
      </c>
      <c r="Z81" s="25">
        <f>IFERROR(AA81/Y81,0)</f>
        <v>0</v>
      </c>
      <c r="AA81" s="24">
        <v>0</v>
      </c>
      <c r="AB81" s="34">
        <f>SUM(D81,G81,J81,M81,P81,S81,V81,Y81)</f>
        <v>3543</v>
      </c>
      <c r="AC81" s="34">
        <f>SUM(F81,I81,L81,O81,R81,U81,X81,AA81)</f>
        <v>0</v>
      </c>
    </row>
    <row r="82" spans="1:29" x14ac:dyDescent="0.25">
      <c r="A82" s="21" t="s">
        <v>165</v>
      </c>
      <c r="B82" s="21" t="s">
        <v>166</v>
      </c>
      <c r="C82" s="21" t="s">
        <v>23</v>
      </c>
      <c r="D82" s="22">
        <v>9760</v>
      </c>
      <c r="E82" s="23">
        <f>IFERROR(F82/D82,0)</f>
        <v>0</v>
      </c>
      <c r="F82" s="22">
        <v>0</v>
      </c>
      <c r="G82" s="24">
        <v>0</v>
      </c>
      <c r="H82" s="25">
        <f>IFERROR(I82/G82,0)</f>
        <v>0</v>
      </c>
      <c r="I82" s="24">
        <v>0</v>
      </c>
      <c r="J82" s="26">
        <v>0</v>
      </c>
      <c r="K82" s="27">
        <f>IFERROR(L82/J82,0)</f>
        <v>0</v>
      </c>
      <c r="L82" s="26">
        <v>0</v>
      </c>
      <c r="M82" s="28">
        <v>0</v>
      </c>
      <c r="N82" s="29">
        <f>IFERROR(O82/M82,0)</f>
        <v>0</v>
      </c>
      <c r="O82" s="28">
        <v>0</v>
      </c>
      <c r="P82" s="30">
        <v>0</v>
      </c>
      <c r="Q82" s="31">
        <f>IFERROR(R82/P82,0)</f>
        <v>0</v>
      </c>
      <c r="R82" s="30">
        <v>0</v>
      </c>
      <c r="S82" s="32">
        <v>0</v>
      </c>
      <c r="T82" s="33">
        <f>IFERROR(U82/S82,0)</f>
        <v>0</v>
      </c>
      <c r="U82" s="32">
        <v>0</v>
      </c>
      <c r="V82" s="22">
        <v>0</v>
      </c>
      <c r="W82" s="23">
        <f>IFERROR(X82/V82,0)</f>
        <v>0</v>
      </c>
      <c r="X82" s="22">
        <v>0</v>
      </c>
      <c r="Y82" s="24">
        <v>0</v>
      </c>
      <c r="Z82" s="25">
        <f>IFERROR(AA82/Y82,0)</f>
        <v>0</v>
      </c>
      <c r="AA82" s="24">
        <v>0</v>
      </c>
      <c r="AB82" s="34">
        <f>SUM(D82,G82,J82,M82,P82,S82,V82,Y82)</f>
        <v>9760</v>
      </c>
      <c r="AC82" s="34">
        <f>SUM(F82,I82,L82,O82,R82,U82,X82,AA82)</f>
        <v>0</v>
      </c>
    </row>
    <row r="83" ht="27" customHeight="1" spans="1:29" x14ac:dyDescent="0.25">
      <c r="A83" s="35" t="s">
        <v>167</v>
      </c>
      <c r="B83" s="35"/>
      <c r="C83" s="35"/>
      <c r="D83" s="36"/>
      <c r="E83" s="36"/>
      <c r="F83" s="37">
        <f>SUM(F6:F82)</f>
        <v>2808418.8655</v>
      </c>
      <c r="G83" s="36"/>
      <c r="H83" s="36"/>
      <c r="I83" s="37">
        <f>SUM(I6:I82)</f>
        <v>410963.69800000003</v>
      </c>
      <c r="J83" s="36"/>
      <c r="K83" s="36"/>
      <c r="L83" s="37">
        <f>SUM(L6:L82)</f>
        <v>0</v>
      </c>
      <c r="M83" s="36"/>
      <c r="N83" s="36"/>
      <c r="O83" s="37">
        <f>SUM(O6:O82)</f>
        <v>42543.65</v>
      </c>
      <c r="P83" s="36"/>
      <c r="Q83" s="36"/>
      <c r="R83" s="37">
        <f>SUM(R6:R82)</f>
        <v>0</v>
      </c>
      <c r="S83" s="36"/>
      <c r="T83" s="36"/>
      <c r="U83" s="37">
        <f>SUM(U6:U82)</f>
        <v>493243.69999999995</v>
      </c>
      <c r="V83" s="36"/>
      <c r="W83" s="36"/>
      <c r="X83" s="37">
        <f>SUM(X6:X82)</f>
        <v>0</v>
      </c>
      <c r="Y83" s="36"/>
      <c r="Z83" s="36"/>
      <c r="AA83" s="37">
        <f>SUM(AA6:AA82)</f>
        <v>0</v>
      </c>
      <c r="AB83" s="36"/>
      <c r="AC83" s="37">
        <f>SUM(AC6:AC82)</f>
        <v>3755169.9135000007</v>
      </c>
    </row>
    <row r="84" spans="1:29" x14ac:dyDescent="0.25">
      <c r="A84" t="s">
        <v>168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</sheetData>
  <autoFilter ref="A5:AC82"/>
  <mergeCells count="25">
    <mergeCell ref="A1:AC1"/>
    <mergeCell ref="A2:AC2"/>
    <mergeCell ref="A3:AC3"/>
    <mergeCell ref="A4:C4"/>
    <mergeCell ref="D4:F4"/>
    <mergeCell ref="G4:I4"/>
    <mergeCell ref="J4:L4"/>
    <mergeCell ref="M4:O4"/>
    <mergeCell ref="P4:R4"/>
    <mergeCell ref="S4:U4"/>
    <mergeCell ref="V4:X4"/>
    <mergeCell ref="Y4:AA4"/>
    <mergeCell ref="AB4:AC4"/>
    <mergeCell ref="A6:AC6"/>
    <mergeCell ref="A9:AC9"/>
    <mergeCell ref="A11:AC11"/>
    <mergeCell ref="A21:AC21"/>
    <mergeCell ref="A45:AC45"/>
    <mergeCell ref="A48:AC48"/>
    <mergeCell ref="A50:AC50"/>
    <mergeCell ref="A56:AC56"/>
    <mergeCell ref="A59:AC59"/>
    <mergeCell ref="A80:AC80"/>
    <mergeCell ref="A83:C83"/>
    <mergeCell ref="A84:AC8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 x sucursal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RECUMET S.R.L.</dc:creator>
  <dc:title/>
  <dc:subject/>
  <dc:description/>
  <cp:keywords/>
  <cp:category/>
  <cp:lastModifiedBy>Unknown</cp:lastModifiedBy>
  <dcterms:created xsi:type="dcterms:W3CDTF">2026-10-07T19:31:08Z</dcterms:created>
  <dcterms:modified xsi:type="dcterms:W3CDTF">2026-10-07T19:31:08Z</dcterms:modified>
</cp:coreProperties>
</file>